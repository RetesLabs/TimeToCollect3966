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62b01ad2cd811/Desktop/"/>
    </mc:Choice>
  </mc:AlternateContent>
  <xr:revisionPtr revIDLastSave="1732" documentId="13_ncr:1_{81C12F3C-8EC9-45B6-A9A8-21446B97400C}" xr6:coauthVersionLast="47" xr6:coauthVersionMax="47" xr10:uidLastSave="{BEC2BC10-255C-4886-8424-1F3E61718CA6}"/>
  <bookViews>
    <workbookView xWindow="28680" yWindow="-120" windowWidth="29040" windowHeight="15720" firstSheet="20" activeTab="27" xr2:uid="{09A19280-0FE6-4547-BF7E-6604A8BE2A7F}"/>
  </bookViews>
  <sheets>
    <sheet name="Febrero" sheetId="1" r:id="rId1"/>
    <sheet name="Marzo" sheetId="2" r:id="rId2"/>
    <sheet name="Marzo2.0" sheetId="4" r:id="rId3"/>
    <sheet name="Abril" sheetId="3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OCTUBRE PLOMERÍA" sheetId="12" r:id="rId11"/>
    <sheet name="OCTUBRE PLOMERÍA 2" sheetId="13" r:id="rId12"/>
    <sheet name="Noviembre" sheetId="14" r:id="rId13"/>
    <sheet name="Diciembre" sheetId="15" r:id="rId14"/>
    <sheet name="Enero" sheetId="16" r:id="rId15"/>
    <sheet name="Febrero 2025" sheetId="17" r:id="rId16"/>
    <sheet name="Marzo 25" sheetId="18" r:id="rId17"/>
    <sheet name="Abril 25" sheetId="19" r:id="rId18"/>
    <sheet name="Mayo 25" sheetId="20" r:id="rId19"/>
    <sheet name="JUNIO 25" sheetId="21" r:id="rId20"/>
    <sheet name="JULIO 25" sheetId="22" r:id="rId21"/>
    <sheet name="Agosto 2025" sheetId="23" r:id="rId22"/>
    <sheet name="Septiembre 2025" sheetId="24" r:id="rId23"/>
    <sheet name="Octubre 2025" sheetId="25" r:id="rId24"/>
    <sheet name="Noviembre 2025" sheetId="26" r:id="rId25"/>
    <sheet name="Diciembre 2025" sheetId="27" r:id="rId26"/>
    <sheet name="Enero 2026" sheetId="28" r:id="rId27"/>
    <sheet name="Febrero 2026" sheetId="29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9" l="1"/>
  <c r="H8" i="29"/>
  <c r="K5" i="29"/>
  <c r="H15" i="28"/>
  <c r="H11" i="28"/>
  <c r="H8" i="28"/>
  <c r="K4" i="28"/>
  <c r="H8" i="27" l="1"/>
  <c r="H11" i="27"/>
  <c r="H15" i="27"/>
  <c r="O17" i="26"/>
  <c r="H8" i="26"/>
  <c r="H11" i="26"/>
  <c r="K4" i="26"/>
  <c r="K5" i="26"/>
  <c r="H15" i="25"/>
  <c r="H11" i="25"/>
  <c r="H8" i="25"/>
  <c r="K5" i="25"/>
  <c r="H11" i="24"/>
  <c r="H15" i="24"/>
  <c r="H8" i="24"/>
  <c r="K4" i="24"/>
  <c r="K5" i="24" s="1"/>
  <c r="H11" i="23"/>
  <c r="K5" i="23"/>
  <c r="H11" i="22"/>
  <c r="H8" i="22"/>
  <c r="K4" i="22"/>
  <c r="H11" i="21"/>
  <c r="H8" i="21"/>
  <c r="K14" i="20"/>
  <c r="H11" i="20"/>
  <c r="H8" i="20"/>
  <c r="H9" i="19"/>
  <c r="H9" i="18"/>
  <c r="H6" i="19"/>
  <c r="H11" i="19"/>
  <c r="H8" i="19"/>
  <c r="H8" i="18"/>
  <c r="H14" i="18"/>
  <c r="H14" i="17"/>
  <c r="K4" i="17"/>
  <c r="K4" i="16"/>
  <c r="H8" i="16"/>
  <c r="H11" i="16"/>
  <c r="H11" i="15"/>
  <c r="H8" i="15"/>
  <c r="H11" i="14"/>
  <c r="H8" i="14"/>
  <c r="K3" i="14"/>
  <c r="K6" i="10"/>
  <c r="L6" i="10"/>
  <c r="K7" i="10"/>
  <c r="H7" i="10"/>
  <c r="L7" i="10"/>
  <c r="K8" i="10"/>
  <c r="L8" i="10"/>
  <c r="K9" i="10"/>
  <c r="H9" i="10"/>
  <c r="K10" i="10"/>
  <c r="H10" i="10"/>
  <c r="L10" i="10"/>
  <c r="K12" i="10"/>
  <c r="H12" i="10"/>
  <c r="L12" i="10"/>
  <c r="K13" i="10"/>
  <c r="H13" i="10"/>
  <c r="L13" i="10"/>
  <c r="K14" i="10"/>
  <c r="H14" i="10"/>
  <c r="L14" i="10"/>
  <c r="K15" i="10"/>
  <c r="H15" i="10"/>
  <c r="L15" i="10"/>
  <c r="K16" i="10"/>
  <c r="H16" i="10"/>
  <c r="L16" i="10"/>
  <c r="K5" i="10"/>
  <c r="H5" i="10"/>
  <c r="L5" i="10"/>
  <c r="K6" i="9"/>
  <c r="L6" i="9"/>
  <c r="K7" i="9"/>
  <c r="H7" i="9"/>
  <c r="L7" i="9"/>
  <c r="K8" i="9"/>
  <c r="L8" i="9"/>
  <c r="K9" i="9"/>
  <c r="K10" i="9"/>
  <c r="K11" i="9"/>
  <c r="K12" i="9"/>
  <c r="H12" i="9"/>
  <c r="L12" i="9"/>
  <c r="K13" i="9"/>
  <c r="H13" i="9"/>
  <c r="L13" i="9"/>
  <c r="K14" i="9"/>
  <c r="H14" i="9"/>
  <c r="L14" i="9"/>
  <c r="K15" i="9"/>
  <c r="H15" i="9"/>
  <c r="L15" i="9"/>
  <c r="K16" i="9"/>
  <c r="H16" i="9"/>
  <c r="L16" i="9"/>
  <c r="K5" i="9"/>
  <c r="H5" i="9"/>
  <c r="L5" i="9"/>
  <c r="L11" i="9"/>
  <c r="H10" i="9"/>
  <c r="L10" i="9"/>
  <c r="H9" i="9"/>
  <c r="L9" i="9"/>
  <c r="L5" i="8"/>
  <c r="H6" i="8"/>
  <c r="L7" i="8"/>
  <c r="H8" i="8"/>
  <c r="H9" i="8"/>
  <c r="L10" i="8"/>
  <c r="H11" i="8"/>
  <c r="H12" i="8"/>
  <c r="H13" i="8"/>
  <c r="H14" i="8"/>
  <c r="L14" i="8"/>
  <c r="H15" i="8"/>
  <c r="L15" i="8"/>
  <c r="L6" i="8"/>
  <c r="L8" i="8"/>
  <c r="L9" i="8"/>
  <c r="L11" i="8"/>
  <c r="L12" i="8"/>
  <c r="L13" i="8"/>
  <c r="K10" i="8"/>
  <c r="K5" i="8"/>
  <c r="K6" i="8"/>
  <c r="K7" i="8"/>
  <c r="K8" i="8"/>
  <c r="K9" i="8"/>
  <c r="K11" i="8"/>
  <c r="K12" i="8"/>
  <c r="K13" i="8"/>
  <c r="K14" i="8"/>
  <c r="K15" i="8"/>
  <c r="K4" i="8"/>
  <c r="H4" i="8"/>
  <c r="L4" i="8"/>
  <c r="L5" i="7"/>
  <c r="H6" i="7"/>
  <c r="L6" i="7"/>
  <c r="K5" i="7"/>
  <c r="K6" i="7"/>
  <c r="K7" i="7"/>
  <c r="K8" i="7"/>
  <c r="K9" i="7"/>
  <c r="H9" i="7"/>
  <c r="L9" i="7"/>
  <c r="K10" i="7"/>
  <c r="H10" i="7"/>
  <c r="L10" i="7"/>
  <c r="K11" i="7"/>
  <c r="H11" i="7"/>
  <c r="L11" i="7"/>
  <c r="K12" i="7"/>
  <c r="H12" i="7"/>
  <c r="L12" i="7"/>
  <c r="K14" i="7"/>
  <c r="K15" i="7"/>
  <c r="H15" i="7"/>
  <c r="L15" i="7"/>
  <c r="K4" i="7"/>
  <c r="H4" i="7"/>
  <c r="L4" i="7"/>
  <c r="H14" i="7"/>
  <c r="L14" i="7"/>
  <c r="H8" i="7"/>
  <c r="L8" i="7"/>
  <c r="H7" i="7"/>
  <c r="L7" i="7"/>
  <c r="K15" i="6"/>
  <c r="H15" i="6"/>
  <c r="L15" i="6"/>
  <c r="K14" i="6"/>
  <c r="H14" i="6"/>
  <c r="L14" i="6"/>
  <c r="K13" i="6"/>
  <c r="H13" i="6"/>
  <c r="L13" i="6"/>
  <c r="K13" i="7"/>
  <c r="H13" i="7"/>
  <c r="L13" i="7"/>
  <c r="K12" i="6"/>
  <c r="H12" i="6"/>
  <c r="L12" i="6"/>
  <c r="K11" i="6"/>
  <c r="K10" i="6"/>
  <c r="H10" i="6"/>
  <c r="L10" i="6"/>
  <c r="K9" i="6"/>
  <c r="H9" i="6"/>
  <c r="L9" i="6"/>
  <c r="K8" i="6"/>
  <c r="H8" i="6"/>
  <c r="L8" i="6"/>
  <c r="K4" i="6"/>
  <c r="H4" i="6"/>
  <c r="L4" i="6"/>
  <c r="K5" i="6"/>
  <c r="L5" i="6"/>
  <c r="K6" i="6"/>
  <c r="H6" i="6"/>
  <c r="L6" i="6"/>
  <c r="K7" i="6"/>
  <c r="H7" i="6"/>
  <c r="L7" i="6"/>
  <c r="H11" i="6"/>
  <c r="L11" i="6"/>
  <c r="K7" i="5"/>
  <c r="H7" i="5"/>
  <c r="L7" i="5"/>
  <c r="L8" i="5"/>
  <c r="L5" i="5"/>
  <c r="H8" i="5"/>
  <c r="H9" i="5"/>
  <c r="L9" i="5"/>
  <c r="H10" i="5"/>
  <c r="L10" i="5"/>
  <c r="H14" i="5"/>
  <c r="L14" i="5"/>
  <c r="K5" i="5"/>
  <c r="K8" i="5"/>
  <c r="K9" i="5"/>
  <c r="K10" i="5"/>
  <c r="K14" i="5"/>
  <c r="L4" i="3"/>
  <c r="K4" i="5"/>
  <c r="H4" i="5"/>
  <c r="L4" i="5"/>
  <c r="L5" i="3"/>
  <c r="L6" i="3"/>
  <c r="K6" i="5"/>
  <c r="H6" i="5"/>
  <c r="L6" i="5"/>
  <c r="L8" i="3"/>
  <c r="L9" i="3"/>
  <c r="L10" i="3"/>
  <c r="L11" i="3"/>
  <c r="K11" i="5"/>
  <c r="H11" i="5"/>
  <c r="L11" i="5"/>
  <c r="L12" i="3"/>
  <c r="K12" i="5"/>
  <c r="H12" i="5"/>
  <c r="L12" i="5"/>
  <c r="L13" i="3"/>
  <c r="K13" i="5"/>
  <c r="H13" i="5"/>
  <c r="L13" i="5"/>
  <c r="L14" i="3"/>
  <c r="L15" i="3"/>
  <c r="K15" i="5"/>
  <c r="H15" i="5"/>
  <c r="L15" i="5"/>
  <c r="L7" i="3"/>
  <c r="K4" i="3"/>
  <c r="K5" i="3"/>
  <c r="K6" i="3"/>
  <c r="K8" i="3"/>
  <c r="K9" i="3"/>
  <c r="K10" i="3"/>
  <c r="K11" i="3"/>
  <c r="K12" i="3"/>
  <c r="K13" i="3"/>
  <c r="K14" i="3"/>
  <c r="K15" i="3"/>
  <c r="H7" i="3"/>
  <c r="K7" i="3"/>
  <c r="J7" i="2"/>
  <c r="H6" i="25"/>
</calcChain>
</file>

<file path=xl/sharedStrings.xml><?xml version="1.0" encoding="utf-8"?>
<sst xmlns="http://schemas.openxmlformats.org/spreadsheetml/2006/main" count="1100" uniqueCount="61">
  <si>
    <t>4741 7438 4848 9465</t>
  </si>
  <si>
    <t>Banregio</t>
  </si>
  <si>
    <t>Departamento</t>
  </si>
  <si>
    <t>Carlos Retes</t>
  </si>
  <si>
    <t>Carlos Retes</t>
  </si>
  <si>
    <t>Mayte</t>
  </si>
  <si>
    <t>30 a favor</t>
  </si>
  <si>
    <t>Atilio</t>
  </si>
  <si>
    <t>Raul</t>
  </si>
  <si>
    <t>Modesto</t>
  </si>
  <si>
    <t>Jaqui Ibarra</t>
  </si>
  <si>
    <t>Sandra</t>
  </si>
  <si>
    <t>Jobe</t>
  </si>
  <si>
    <t>Martha</t>
  </si>
  <si>
    <t>Scott</t>
  </si>
  <si>
    <t>Kelyn Vasquez</t>
  </si>
  <si>
    <t>José Cardenas</t>
  </si>
  <si>
    <t>Dep</t>
  </si>
  <si>
    <t>A favor</t>
  </si>
  <si>
    <t>🏦</t>
  </si>
  <si>
    <t>⭐</t>
  </si>
  <si>
    <t>💵</t>
  </si>
  <si>
    <t>_xDCB3_💳</t>
  </si>
  <si>
    <t>Sra. Carmen</t>
  </si>
  <si>
    <t>Saldo</t>
  </si>
  <si>
    <t>Anterior</t>
  </si>
  <si>
    <t>Actual</t>
  </si>
  <si>
    <t>Sebastian</t>
  </si>
  <si>
    <t>Septiembre</t>
  </si>
  <si>
    <t>Octubre</t>
  </si>
  <si>
    <t>NA</t>
  </si>
  <si>
    <t>HUGO</t>
  </si>
  <si>
    <t>Detección de fuga de agua</t>
  </si>
  <si>
    <t>Reparación de fuga de agua</t>
  </si>
  <si>
    <t>&lt;</t>
  </si>
  <si>
    <t>Agua Luz Noviembre</t>
  </si>
  <si>
    <t>Agua Diciembre</t>
  </si>
  <si>
    <t>Arturo</t>
  </si>
  <si>
    <t>Luz y Agua Enero</t>
  </si>
  <si>
    <t>Agua Febrero</t>
  </si>
  <si>
    <t>Agua y Luz Marzo</t>
  </si>
  <si>
    <t>Agua Abril</t>
  </si>
  <si>
    <t>Agua y Luz Mayo</t>
  </si>
  <si>
    <t>Edith</t>
  </si>
  <si>
    <t>Sebastian y Ximena</t>
  </si>
  <si>
    <t>Agua Junio</t>
  </si>
  <si>
    <t>Juan Carlos</t>
  </si>
  <si>
    <t>Hablarle a un herrero</t>
  </si>
  <si>
    <t>Ver lo  de los pisos</t>
  </si>
  <si>
    <t>Servicio cisterna</t>
  </si>
  <si>
    <t xml:space="preserve">Puerta de lamina electrico </t>
  </si>
  <si>
    <t>Pintar el departamento</t>
  </si>
  <si>
    <t>Cabecera</t>
  </si>
  <si>
    <t>Agua y Luz Julio</t>
  </si>
  <si>
    <t>Agua Agosto</t>
  </si>
  <si>
    <t>Agua y Luz Septiembre</t>
  </si>
  <si>
    <t>Agua Octubre</t>
  </si>
  <si>
    <t>Paula</t>
  </si>
  <si>
    <t>Agua y Luz Noviembre</t>
  </si>
  <si>
    <t>Agua y Luz Enero 2026</t>
  </si>
  <si>
    <t>Agua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</si>
</sst>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ABA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4" fontId="1" fillId="2" borderId="2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44" fontId="1" fillId="2" borderId="0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4" fontId="1" fillId="3" borderId="2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4" fontId="1" fillId="4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44" fontId="1" fillId="2" borderId="0" xfId="1" applyFont="1" applyFill="1" applyAlignment="1">
      <alignment vertical="center"/>
    </xf>
    <xf numFmtId="0" fontId="1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44" fontId="11" fillId="2" borderId="2" xfId="1" applyFont="1" applyFill="1" applyBorder="1" applyAlignment="1">
      <alignment horizontal="center" vertical="center"/>
    </xf>
    <xf numFmtId="44" fontId="11" fillId="3" borderId="2" xfId="1" applyFont="1" applyFill="1" applyBorder="1" applyAlignment="1">
      <alignment horizontal="center" vertical="center"/>
    </xf>
    <xf numFmtId="44" fontId="9" fillId="2" borderId="2" xfId="1" applyFont="1" applyFill="1" applyBorder="1" applyAlignment="1">
      <alignment horizontal="center" vertical="center"/>
    </xf>
    <xf numFmtId="44" fontId="1" fillId="2" borderId="6" xfId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44" fontId="1" fillId="5" borderId="2" xfId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4" fontId="12" fillId="5" borderId="2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ABAB"/>
      <color rgb="FF5B3359"/>
      <color rgb="FF85091B"/>
      <color rgb="FF213735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F7062B01AD2CD811/Desktop/3966/Abril/Imagen%20de%20WhatsApp%202024-04-04%20a%20las%2022.14.32_5f3864df.jp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../F7062B01AD2CD811/Desktop/3966/Abril/Imagen%20de%20WhatsApp%202024-04-04%20a%20las%2022.14.32_5f3864df.jpg" TargetMode="External"/><Relationship Id="rId3" Type="http://schemas.openxmlformats.org/officeDocument/2006/relationships/hyperlink" Target="../../F7062B01AD2CD811/Desktop/3966/Abril/Imagen%20de%20WhatsApp%202024-04-04%20a%20las%2022.14.32_5f3864df.jpg" TargetMode="External"/><Relationship Id="rId7" Type="http://schemas.openxmlformats.org/officeDocument/2006/relationships/hyperlink" Target="../../F7062B01AD2CD811/Desktop/3966/Abril/Imagen%20de%20WhatsApp%202024-04-04%20a%20las%2022.14.32_5f3864df.jpg" TargetMode="External"/><Relationship Id="rId2" Type="http://schemas.openxmlformats.org/officeDocument/2006/relationships/hyperlink" Target="../../F7062B01AD2CD811/Desktop/3966/Abril/Imagen%20de%20WhatsApp%202024-04-04%20a%20las%2022.14.32_5f3864df.jpg" TargetMode="External"/><Relationship Id="rId1" Type="http://schemas.openxmlformats.org/officeDocument/2006/relationships/hyperlink" Target="../../F7062B01AD2CD811/Desktop/3966/Abril/Imagen%20de%20WhatsApp%202024-04-04%20a%20las%2022.14.32_5f3864df.jpg" TargetMode="External"/><Relationship Id="rId6" Type="http://schemas.openxmlformats.org/officeDocument/2006/relationships/hyperlink" Target="../../F7062B01AD2CD811/Desktop/3966/Abril/Imagen%20de%20WhatsApp%202024-04-04%20a%20las%2022.14.32_5f3864df.jpg" TargetMode="External"/><Relationship Id="rId5" Type="http://schemas.openxmlformats.org/officeDocument/2006/relationships/hyperlink" Target="../../F7062B01AD2CD811/Desktop/3966/Abril/Imagen%20de%20WhatsApp%202024-04-04%20a%20las%2022.14.32_5f3864df.jpg" TargetMode="External"/><Relationship Id="rId4" Type="http://schemas.openxmlformats.org/officeDocument/2006/relationships/hyperlink" Target="../../F7062B01AD2CD811/Desktop/3966/Abril/Imagen%20de%20WhatsApp%202024-04-04%20a%20las%2022.14.32_5f3864d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570D-440A-4E77-A76C-1195E51FFF49}">
  <dimension ref="C4:N20"/>
  <sheetViews>
    <sheetView topLeftCell="A6" workbookViewId="0">
      <selection activeCell="D21" sqref="D21"/>
    </sheetView>
  </sheetViews>
  <sheetFormatPr defaultColWidth="9.140625" defaultRowHeight="27" customHeight="1" x14ac:dyDescent="0.25"/>
  <cols>
    <col min="1" max="3" width="9.140625" style="2"/>
    <col min="4" max="5" width="14" style="2" bestFit="1" customWidth="1"/>
    <col min="6" max="6" width="9.140625" style="2"/>
    <col min="7" max="7" width="18.7109375" style="2" customWidth="1"/>
    <col min="8" max="13" width="9.140625" style="2"/>
    <col min="14" max="14" width="18.5703125" style="2" bestFit="1" customWidth="1"/>
    <col min="15" max="16384" width="9.140625" style="2"/>
  </cols>
  <sheetData>
    <row r="4" spans="3:14" ht="27" customHeight="1" x14ac:dyDescent="0.25">
      <c r="N4" s="13"/>
    </row>
    <row r="5" spans="3:14" ht="27" customHeight="1" x14ac:dyDescent="0.25">
      <c r="N5" s="13" t="s">
        <v>0</v>
      </c>
    </row>
    <row r="6" spans="3:14" ht="27" customHeight="1" x14ac:dyDescent="0.25">
      <c r="N6" s="13" t="s">
        <v>1</v>
      </c>
    </row>
    <row r="7" spans="3:14" s="1" customFormat="1" ht="27" customHeight="1" x14ac:dyDescent="0.25">
      <c r="D7" s="3"/>
      <c r="E7" s="5" t="s">
        <v>2</v>
      </c>
      <c r="F7" s="4"/>
      <c r="G7" s="4"/>
      <c r="N7" s="14" t="s">
        <v>3</v>
      </c>
    </row>
    <row r="8" spans="3:14" s="1" customFormat="1" ht="27" customHeight="1" x14ac:dyDescent="0.25">
      <c r="D8" s="3" t="s">
        <v>4</v>
      </c>
      <c r="E8" s="5">
        <v>1</v>
      </c>
      <c r="F8" s="5">
        <v>72</v>
      </c>
      <c r="G8" s="5">
        <v>71</v>
      </c>
      <c r="N8" s="14"/>
    </row>
    <row r="9" spans="3:14" s="1" customFormat="1" ht="27" customHeight="1" x14ac:dyDescent="0.25">
      <c r="D9" s="3" t="s">
        <v>5</v>
      </c>
      <c r="E9" s="5">
        <v>2</v>
      </c>
      <c r="F9" s="5">
        <v>173</v>
      </c>
      <c r="G9" s="5" t="s">
        <v>6</v>
      </c>
      <c r="N9" s="14"/>
    </row>
    <row r="10" spans="3:14" s="1" customFormat="1" ht="27" customHeight="1" x14ac:dyDescent="0.25">
      <c r="D10" s="3" t="s">
        <v>7</v>
      </c>
      <c r="E10" s="5">
        <v>3</v>
      </c>
      <c r="F10" s="5">
        <v>72</v>
      </c>
      <c r="G10" s="5">
        <v>71</v>
      </c>
    </row>
    <row r="11" spans="3:14" s="1" customFormat="1" ht="27" customHeight="1" x14ac:dyDescent="0.25">
      <c r="C11" s="1">
        <v>500</v>
      </c>
      <c r="D11" s="3" t="s">
        <v>8</v>
      </c>
      <c r="E11" s="5">
        <v>4</v>
      </c>
      <c r="F11" s="5">
        <v>143</v>
      </c>
      <c r="G11" s="5"/>
    </row>
    <row r="12" spans="3:14" s="1" customFormat="1" ht="27" customHeight="1" x14ac:dyDescent="0.25">
      <c r="C12" s="1">
        <v>59</v>
      </c>
      <c r="D12" s="3" t="s">
        <v>9</v>
      </c>
      <c r="E12" s="5">
        <v>5</v>
      </c>
      <c r="F12" s="5">
        <v>73</v>
      </c>
      <c r="G12" s="5">
        <v>71</v>
      </c>
    </row>
    <row r="13" spans="3:14" s="1" customFormat="1" ht="27" customHeight="1" x14ac:dyDescent="0.25">
      <c r="D13" s="3" t="s">
        <v>10</v>
      </c>
      <c r="E13" s="5">
        <v>6</v>
      </c>
      <c r="F13" s="5">
        <v>143</v>
      </c>
      <c r="G13" s="5"/>
    </row>
    <row r="14" spans="3:14" s="1" customFormat="1" ht="27" customHeight="1" x14ac:dyDescent="0.25">
      <c r="D14" s="3" t="s">
        <v>11</v>
      </c>
      <c r="E14" s="5">
        <v>7</v>
      </c>
      <c r="F14" s="5">
        <v>143</v>
      </c>
      <c r="G14" s="5"/>
    </row>
    <row r="15" spans="3:14" s="1" customFormat="1" ht="27" customHeight="1" x14ac:dyDescent="0.25">
      <c r="D15" s="3" t="s">
        <v>12</v>
      </c>
      <c r="E15" s="5">
        <v>8</v>
      </c>
      <c r="F15" s="5">
        <v>143</v>
      </c>
      <c r="G15" s="5"/>
    </row>
    <row r="16" spans="3:14" s="1" customFormat="1" ht="27" customHeight="1" x14ac:dyDescent="0.25">
      <c r="D16" s="3" t="s">
        <v>13</v>
      </c>
      <c r="E16" s="5">
        <v>9</v>
      </c>
      <c r="F16" s="5">
        <v>72</v>
      </c>
      <c r="G16" s="5">
        <v>71</v>
      </c>
    </row>
    <row r="17" spans="4:7" s="1" customFormat="1" ht="27" customHeight="1" x14ac:dyDescent="0.25">
      <c r="D17" s="3" t="s">
        <v>14</v>
      </c>
      <c r="E17" s="5">
        <v>10</v>
      </c>
      <c r="F17" s="5">
        <v>72</v>
      </c>
      <c r="G17" s="5"/>
    </row>
    <row r="18" spans="4:7" s="1" customFormat="1" ht="27" customHeight="1" x14ac:dyDescent="0.25">
      <c r="D18" s="3" t="s">
        <v>11</v>
      </c>
      <c r="E18" s="5">
        <v>11</v>
      </c>
      <c r="F18" s="5">
        <v>72</v>
      </c>
      <c r="G18" s="5">
        <v>71</v>
      </c>
    </row>
    <row r="19" spans="4:7" s="1" customFormat="1" ht="27" customHeight="1" x14ac:dyDescent="0.25">
      <c r="D19" s="3" t="s">
        <v>15</v>
      </c>
      <c r="E19" s="5">
        <v>12</v>
      </c>
      <c r="F19" s="5">
        <v>72</v>
      </c>
      <c r="G19" s="5">
        <v>71</v>
      </c>
    </row>
    <row r="20" spans="4:7" ht="27" customHeight="1" x14ac:dyDescent="0.25">
      <c r="D20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BFBC-5028-493B-A1A5-979A7513C95A}">
  <dimension ref="A3:M15"/>
  <sheetViews>
    <sheetView workbookViewId="0">
      <selection sqref="A1:XFD1048576"/>
    </sheetView>
  </sheetViews>
  <sheetFormatPr defaultColWidth="9.140625" defaultRowHeight="27" customHeight="1" x14ac:dyDescent="0.25"/>
  <cols>
    <col min="1" max="4" width="9.140625" style="2"/>
    <col min="5" max="5" width="16.7109375" style="2" customWidth="1"/>
    <col min="6" max="6" width="8.42578125" style="2" customWidth="1"/>
    <col min="7" max="7" width="9.140625" style="12" customWidth="1"/>
    <col min="8" max="9" width="9.140625" style="2"/>
    <col min="10" max="10" width="10.7109375" style="2" customWidth="1"/>
    <col min="11" max="16384" width="9.140625" style="2"/>
  </cols>
  <sheetData>
    <row r="3" spans="1:13" s="1" customFormat="1" ht="27" customHeight="1" x14ac:dyDescent="0.25">
      <c r="E3" s="3"/>
      <c r="F3" s="7" t="s">
        <v>17</v>
      </c>
      <c r="G3" s="7"/>
      <c r="H3" s="7"/>
      <c r="I3" s="8"/>
      <c r="J3" s="7" t="s">
        <v>18</v>
      </c>
      <c r="L3" s="7" t="s">
        <v>18</v>
      </c>
      <c r="M3" s="7" t="s">
        <v>18</v>
      </c>
    </row>
    <row r="4" spans="1:13" s="1" customFormat="1" ht="27" customHeight="1" x14ac:dyDescent="0.25">
      <c r="E4" s="3" t="s">
        <v>4</v>
      </c>
      <c r="F4" s="7">
        <v>1</v>
      </c>
      <c r="G4" s="11">
        <v>82</v>
      </c>
      <c r="H4" s="7" t="s">
        <v>19</v>
      </c>
      <c r="I4" s="8" t="s">
        <v>20</v>
      </c>
      <c r="J4" s="11"/>
      <c r="L4" s="11"/>
      <c r="M4" s="11"/>
    </row>
    <row r="5" spans="1:13" s="1" customFormat="1" ht="27" customHeight="1" x14ac:dyDescent="0.25">
      <c r="E5" s="3" t="s">
        <v>5</v>
      </c>
      <c r="F5" s="7">
        <v>2</v>
      </c>
      <c r="G5" s="11">
        <v>100</v>
      </c>
      <c r="H5" s="9" t="s">
        <v>21</v>
      </c>
      <c r="I5" s="8" t="s">
        <v>20</v>
      </c>
      <c r="J5" s="11">
        <v>18</v>
      </c>
      <c r="L5" s="11"/>
      <c r="M5" s="11"/>
    </row>
    <row r="6" spans="1:13" s="1" customFormat="1" ht="27" customHeight="1" x14ac:dyDescent="0.25">
      <c r="E6" s="3" t="s">
        <v>7</v>
      </c>
      <c r="F6" s="7">
        <v>3</v>
      </c>
      <c r="G6" s="11">
        <v>82</v>
      </c>
      <c r="H6" s="10" t="s">
        <v>22</v>
      </c>
      <c r="I6" s="8" t="s">
        <v>20</v>
      </c>
      <c r="J6" s="11"/>
      <c r="L6" s="11"/>
      <c r="M6" s="11"/>
    </row>
    <row r="7" spans="1:13" s="1" customFormat="1" ht="27" customHeight="1" x14ac:dyDescent="0.25">
      <c r="A7" s="1">
        <v>500</v>
      </c>
      <c r="E7" s="3" t="s">
        <v>8</v>
      </c>
      <c r="F7" s="7">
        <v>4</v>
      </c>
      <c r="G7" s="11">
        <v>82</v>
      </c>
      <c r="H7" s="9" t="s">
        <v>21</v>
      </c>
      <c r="I7" s="8" t="s">
        <v>20</v>
      </c>
      <c r="J7" s="11">
        <f>500-82-72</f>
        <v>346</v>
      </c>
      <c r="L7" s="11"/>
      <c r="M7" s="11"/>
    </row>
    <row r="8" spans="1:13" s="1" customFormat="1" ht="27" customHeight="1" x14ac:dyDescent="0.25">
      <c r="A8" s="1">
        <v>59</v>
      </c>
      <c r="E8" s="3" t="s">
        <v>9</v>
      </c>
      <c r="F8" s="7">
        <v>5</v>
      </c>
      <c r="G8" s="11"/>
      <c r="H8" s="7"/>
      <c r="I8" s="8"/>
      <c r="J8" s="11">
        <v>59</v>
      </c>
      <c r="L8" s="11"/>
      <c r="M8" s="11"/>
    </row>
    <row r="9" spans="1:13" s="1" customFormat="1" ht="27" customHeight="1" x14ac:dyDescent="0.25">
      <c r="E9" s="3" t="s">
        <v>10</v>
      </c>
      <c r="F9" s="7">
        <v>6</v>
      </c>
      <c r="G9" s="11">
        <v>82</v>
      </c>
      <c r="H9" s="10" t="s">
        <v>22</v>
      </c>
      <c r="I9" s="8" t="s">
        <v>20</v>
      </c>
      <c r="J9" s="11"/>
      <c r="L9" s="11"/>
      <c r="M9" s="11"/>
    </row>
    <row r="10" spans="1:13" s="1" customFormat="1" ht="27" customHeight="1" x14ac:dyDescent="0.25">
      <c r="E10" s="3" t="s">
        <v>23</v>
      </c>
      <c r="F10" s="7">
        <v>7</v>
      </c>
      <c r="G10" s="11">
        <v>82</v>
      </c>
      <c r="H10" s="10" t="s">
        <v>22</v>
      </c>
      <c r="I10" s="8" t="s">
        <v>20</v>
      </c>
      <c r="J10" s="11"/>
      <c r="L10" s="11"/>
      <c r="M10" s="11"/>
    </row>
    <row r="11" spans="1:13" s="1" customFormat="1" ht="27" customHeight="1" x14ac:dyDescent="0.25">
      <c r="E11" s="3" t="s">
        <v>12</v>
      </c>
      <c r="F11" s="7">
        <v>8</v>
      </c>
      <c r="G11" s="11">
        <v>82</v>
      </c>
      <c r="H11" s="10" t="s">
        <v>22</v>
      </c>
      <c r="I11" s="8" t="s">
        <v>20</v>
      </c>
      <c r="J11" s="11"/>
      <c r="L11" s="11"/>
      <c r="M11" s="11"/>
    </row>
    <row r="12" spans="1:13" s="1" customFormat="1" ht="27" customHeight="1" x14ac:dyDescent="0.25">
      <c r="E12" s="3" t="s">
        <v>13</v>
      </c>
      <c r="F12" s="7">
        <v>9</v>
      </c>
      <c r="G12" s="11">
        <v>82</v>
      </c>
      <c r="H12" s="10" t="s">
        <v>22</v>
      </c>
      <c r="I12" s="8" t="s">
        <v>20</v>
      </c>
      <c r="J12" s="11"/>
      <c r="L12" s="11"/>
      <c r="M12" s="11"/>
    </row>
    <row r="13" spans="1:13" s="1" customFormat="1" ht="27" customHeight="1" x14ac:dyDescent="0.25">
      <c r="E13" s="3" t="s">
        <v>14</v>
      </c>
      <c r="F13" s="7">
        <v>10</v>
      </c>
      <c r="G13" s="11"/>
      <c r="H13" s="7"/>
      <c r="I13" s="8"/>
      <c r="J13" s="11"/>
      <c r="L13" s="11"/>
      <c r="M13" s="11"/>
    </row>
    <row r="14" spans="1:13" s="1" customFormat="1" ht="27" customHeight="1" x14ac:dyDescent="0.25">
      <c r="E14" s="3" t="s">
        <v>11</v>
      </c>
      <c r="F14" s="7">
        <v>11</v>
      </c>
      <c r="G14" s="11">
        <v>82</v>
      </c>
      <c r="H14" s="10" t="s">
        <v>22</v>
      </c>
      <c r="I14" s="8" t="s">
        <v>20</v>
      </c>
      <c r="J14" s="11"/>
      <c r="L14" s="11"/>
      <c r="M14" s="11"/>
    </row>
    <row r="15" spans="1:13" s="1" customFormat="1" ht="27" customHeight="1" x14ac:dyDescent="0.25">
      <c r="E15" s="3" t="s">
        <v>15</v>
      </c>
      <c r="F15" s="7">
        <v>12</v>
      </c>
      <c r="G15" s="11">
        <v>82</v>
      </c>
      <c r="H15" s="10" t="s">
        <v>22</v>
      </c>
      <c r="I15" s="8" t="s">
        <v>20</v>
      </c>
      <c r="J15" s="11"/>
      <c r="L15" s="11"/>
      <c r="M1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AC6E-19BD-4D1A-937B-86C9F5E1D37C}">
  <dimension ref="B3:K15"/>
  <sheetViews>
    <sheetView workbookViewId="0">
      <selection activeCell="H7" sqref="H7"/>
    </sheetView>
  </sheetViews>
  <sheetFormatPr defaultColWidth="9.140625" defaultRowHeight="27" customHeight="1" x14ac:dyDescent="0.25"/>
  <cols>
    <col min="1" max="1" width="9.140625" style="2"/>
    <col min="2" max="2" width="16.7109375" style="2" customWidth="1"/>
    <col min="3" max="3" width="2.85546875" style="2" customWidth="1"/>
    <col min="4" max="4" width="8.42578125" style="2" customWidth="1"/>
    <col min="5" max="5" width="9.140625" style="12"/>
    <col min="6" max="7" width="9.140625" style="2"/>
    <col min="8" max="8" width="10.7109375" style="2" customWidth="1"/>
    <col min="9" max="16384" width="9.140625" style="2"/>
  </cols>
  <sheetData>
    <row r="3" spans="2:11" s="1" customFormat="1" ht="27" customHeight="1" x14ac:dyDescent="0.25">
      <c r="B3" s="3"/>
      <c r="C3" s="3"/>
      <c r="D3" s="7" t="s">
        <v>17</v>
      </c>
      <c r="E3" s="7"/>
      <c r="F3" s="7"/>
      <c r="G3" s="8"/>
      <c r="H3" s="7" t="s">
        <v>18</v>
      </c>
      <c r="J3" s="7"/>
      <c r="K3" s="7" t="s">
        <v>24</v>
      </c>
    </row>
    <row r="4" spans="2:11" s="1" customFormat="1" ht="27" customHeight="1" x14ac:dyDescent="0.25">
      <c r="B4" s="3" t="s">
        <v>4</v>
      </c>
      <c r="C4" s="3"/>
      <c r="D4" s="7">
        <v>1</v>
      </c>
      <c r="E4" s="11">
        <v>82</v>
      </c>
      <c r="F4" s="7" t="s">
        <v>19</v>
      </c>
      <c r="G4" s="8" t="s">
        <v>20</v>
      </c>
      <c r="H4" s="11"/>
      <c r="J4" s="11">
        <v>82</v>
      </c>
      <c r="K4" s="11">
        <v>0</v>
      </c>
    </row>
    <row r="5" spans="2:11" s="1" customFormat="1" ht="27" customHeight="1" x14ac:dyDescent="0.25">
      <c r="B5" s="3" t="s">
        <v>5</v>
      </c>
      <c r="C5" s="3"/>
      <c r="D5" s="7">
        <v>2</v>
      </c>
      <c r="E5" s="11">
        <v>82</v>
      </c>
      <c r="F5" s="9" t="s">
        <v>21</v>
      </c>
      <c r="G5" s="8" t="s">
        <v>20</v>
      </c>
      <c r="H5" s="11"/>
      <c r="J5" s="11">
        <v>82</v>
      </c>
      <c r="K5" s="11">
        <v>0</v>
      </c>
    </row>
    <row r="6" spans="2:11" s="1" customFormat="1" ht="27" customHeight="1" x14ac:dyDescent="0.25">
      <c r="B6" s="3" t="s">
        <v>7</v>
      </c>
      <c r="C6" s="3"/>
      <c r="D6" s="7">
        <v>3</v>
      </c>
      <c r="E6" s="11">
        <v>82</v>
      </c>
      <c r="F6" s="10" t="s">
        <v>22</v>
      </c>
      <c r="G6" s="8" t="s">
        <v>20</v>
      </c>
      <c r="H6" s="11"/>
      <c r="J6" s="11">
        <v>82</v>
      </c>
      <c r="K6" s="11">
        <v>0</v>
      </c>
    </row>
    <row r="7" spans="2:11" s="1" customFormat="1" ht="27" customHeight="1" x14ac:dyDescent="0.25">
      <c r="B7" s="3" t="s">
        <v>8</v>
      </c>
      <c r="C7" s="3"/>
      <c r="D7" s="7">
        <v>4</v>
      </c>
      <c r="E7" s="11">
        <v>82</v>
      </c>
      <c r="F7" s="9" t="s">
        <v>21</v>
      </c>
      <c r="G7" s="8" t="s">
        <v>20</v>
      </c>
      <c r="H7" s="11">
        <v>346</v>
      </c>
      <c r="J7" s="11">
        <v>82</v>
      </c>
      <c r="K7" s="11">
        <v>346</v>
      </c>
    </row>
    <row r="8" spans="2:11" s="1" customFormat="1" ht="27" customHeight="1" x14ac:dyDescent="0.25">
      <c r="B8" s="3" t="s">
        <v>9</v>
      </c>
      <c r="C8" s="3"/>
      <c r="D8" s="7">
        <v>5</v>
      </c>
      <c r="E8" s="11">
        <v>82</v>
      </c>
      <c r="F8" s="7"/>
      <c r="G8" s="8"/>
      <c r="H8" s="11"/>
      <c r="J8" s="11">
        <v>82</v>
      </c>
      <c r="K8" s="11">
        <v>0</v>
      </c>
    </row>
    <row r="9" spans="2:11" s="1" customFormat="1" ht="27" customHeight="1" x14ac:dyDescent="0.25">
      <c r="B9" s="3" t="s">
        <v>10</v>
      </c>
      <c r="C9" s="3"/>
      <c r="D9" s="7">
        <v>6</v>
      </c>
      <c r="E9" s="11">
        <v>82</v>
      </c>
      <c r="F9" s="10" t="s">
        <v>22</v>
      </c>
      <c r="G9" s="8" t="s">
        <v>20</v>
      </c>
      <c r="H9" s="11"/>
      <c r="J9" s="11">
        <v>82</v>
      </c>
      <c r="K9" s="11">
        <v>0</v>
      </c>
    </row>
    <row r="10" spans="2:11" s="1" customFormat="1" ht="27" customHeight="1" x14ac:dyDescent="0.25">
      <c r="B10" s="3" t="s">
        <v>23</v>
      </c>
      <c r="C10" s="3"/>
      <c r="D10" s="7">
        <v>7</v>
      </c>
      <c r="E10" s="11">
        <v>82</v>
      </c>
      <c r="F10" s="10" t="s">
        <v>22</v>
      </c>
      <c r="G10" s="8" t="s">
        <v>20</v>
      </c>
      <c r="H10" s="11"/>
      <c r="J10" s="11">
        <v>82</v>
      </c>
      <c r="K10" s="11">
        <v>0</v>
      </c>
    </row>
    <row r="11" spans="2:11" s="1" customFormat="1" ht="27" customHeight="1" x14ac:dyDescent="0.25">
      <c r="B11" s="3" t="s">
        <v>12</v>
      </c>
      <c r="C11" s="3"/>
      <c r="D11" s="7">
        <v>8</v>
      </c>
      <c r="E11" s="11">
        <v>82</v>
      </c>
      <c r="F11" s="10" t="s">
        <v>22</v>
      </c>
      <c r="G11" s="8" t="s">
        <v>20</v>
      </c>
      <c r="H11" s="11"/>
      <c r="J11" s="11">
        <v>82</v>
      </c>
      <c r="K11" s="11">
        <v>0</v>
      </c>
    </row>
    <row r="12" spans="2:11" s="1" customFormat="1" ht="27" customHeight="1" x14ac:dyDescent="0.25">
      <c r="B12" s="3" t="s">
        <v>13</v>
      </c>
      <c r="C12" s="3"/>
      <c r="D12" s="7">
        <v>9</v>
      </c>
      <c r="E12" s="11">
        <v>82</v>
      </c>
      <c r="F12" s="10" t="s">
        <v>22</v>
      </c>
      <c r="G12" s="8" t="s">
        <v>20</v>
      </c>
      <c r="H12" s="11"/>
      <c r="J12" s="11">
        <v>82</v>
      </c>
      <c r="K12" s="11">
        <v>0</v>
      </c>
    </row>
    <row r="13" spans="2:11" s="1" customFormat="1" ht="27" customHeight="1" x14ac:dyDescent="0.25">
      <c r="B13" s="3" t="s">
        <v>14</v>
      </c>
      <c r="C13" s="3"/>
      <c r="D13" s="7">
        <v>10</v>
      </c>
      <c r="E13" s="11">
        <v>82</v>
      </c>
      <c r="F13" s="7"/>
      <c r="G13" s="8"/>
      <c r="H13" s="11"/>
      <c r="J13" s="11">
        <v>82</v>
      </c>
      <c r="K13" s="11">
        <v>0</v>
      </c>
    </row>
    <row r="14" spans="2:11" s="1" customFormat="1" ht="27" customHeight="1" x14ac:dyDescent="0.25">
      <c r="B14" s="3" t="s">
        <v>11</v>
      </c>
      <c r="C14" s="3"/>
      <c r="D14" s="7">
        <v>11</v>
      </c>
      <c r="E14" s="11">
        <v>82</v>
      </c>
      <c r="F14" s="10" t="s">
        <v>22</v>
      </c>
      <c r="G14" s="8" t="s">
        <v>20</v>
      </c>
      <c r="H14" s="11"/>
      <c r="J14" s="11">
        <v>82</v>
      </c>
      <c r="K14" s="11">
        <v>0</v>
      </c>
    </row>
    <row r="15" spans="2:11" s="1" customFormat="1" ht="27" customHeight="1" x14ac:dyDescent="0.25">
      <c r="B15" s="3" t="s">
        <v>15</v>
      </c>
      <c r="C15" s="3"/>
      <c r="D15" s="7">
        <v>12</v>
      </c>
      <c r="E15" s="11">
        <v>82</v>
      </c>
      <c r="F15" s="10" t="s">
        <v>22</v>
      </c>
      <c r="G15" s="8" t="s">
        <v>20</v>
      </c>
      <c r="H15" s="11"/>
      <c r="J15" s="11">
        <v>82</v>
      </c>
      <c r="K15" s="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1C11-68B4-43E5-B136-1E71CC0D9C12}">
  <dimension ref="B2:M15"/>
  <sheetViews>
    <sheetView workbookViewId="0">
      <selection activeCell="F6" sqref="F6"/>
    </sheetView>
  </sheetViews>
  <sheetFormatPr defaultColWidth="9.140625" defaultRowHeight="27" customHeight="1" x14ac:dyDescent="0.25"/>
  <cols>
    <col min="1" max="1" width="9.140625" style="2"/>
    <col min="2" max="2" width="16.7109375" style="2" customWidth="1"/>
    <col min="3" max="3" width="2.7109375" style="2" customWidth="1"/>
    <col min="4" max="4" width="8.42578125" style="2" customWidth="1"/>
    <col min="5" max="5" width="9.140625" style="12"/>
    <col min="6" max="7" width="9.140625" style="2"/>
    <col min="8" max="8" width="10.7109375" style="2" customWidth="1"/>
    <col min="9" max="10" width="9.140625" style="2"/>
    <col min="11" max="12" width="19.7109375" style="2" customWidth="1"/>
    <col min="13" max="16384" width="9.140625" style="2"/>
  </cols>
  <sheetData>
    <row r="2" spans="2:13" ht="27" customHeight="1" x14ac:dyDescent="0.25">
      <c r="K2" s="44" t="s">
        <v>24</v>
      </c>
      <c r="L2" s="45"/>
    </row>
    <row r="3" spans="2:13" s="1" customFormat="1" ht="27" customHeight="1" x14ac:dyDescent="0.25">
      <c r="B3" s="3"/>
      <c r="C3" s="3"/>
      <c r="D3" s="7" t="s">
        <v>17</v>
      </c>
      <c r="E3" s="7"/>
      <c r="F3" s="7"/>
      <c r="G3" s="8"/>
      <c r="H3" s="7" t="s">
        <v>18</v>
      </c>
      <c r="J3" s="7"/>
      <c r="K3" s="7" t="s">
        <v>25</v>
      </c>
      <c r="L3" s="7" t="s">
        <v>26</v>
      </c>
    </row>
    <row r="4" spans="2:13" s="1" customFormat="1" ht="27" customHeight="1" x14ac:dyDescent="0.25">
      <c r="B4" s="3" t="s">
        <v>4</v>
      </c>
      <c r="C4" s="3"/>
      <c r="D4" s="7">
        <v>1</v>
      </c>
      <c r="E4" s="11">
        <v>75</v>
      </c>
      <c r="F4" s="7" t="s">
        <v>19</v>
      </c>
      <c r="G4" s="8" t="s">
        <v>20</v>
      </c>
      <c r="H4" s="11"/>
      <c r="J4" s="11">
        <v>75</v>
      </c>
      <c r="K4" s="11">
        <f>Marzo2.0!K4</f>
        <v>0</v>
      </c>
      <c r="L4" s="11">
        <f t="shared" ref="L4:L6" si="0">E4-J4+H4</f>
        <v>0</v>
      </c>
    </row>
    <row r="5" spans="2:13" s="1" customFormat="1" ht="27" customHeight="1" x14ac:dyDescent="0.25">
      <c r="B5" s="3" t="s">
        <v>5</v>
      </c>
      <c r="C5" s="3"/>
      <c r="D5" s="7">
        <v>2</v>
      </c>
      <c r="E5" s="11">
        <v>75</v>
      </c>
      <c r="F5" s="9" t="s">
        <v>21</v>
      </c>
      <c r="G5" s="8" t="s">
        <v>20</v>
      </c>
      <c r="H5" s="11"/>
      <c r="J5" s="11">
        <v>75</v>
      </c>
      <c r="K5" s="11">
        <f>Marzo2.0!K5</f>
        <v>0</v>
      </c>
      <c r="L5" s="11">
        <f t="shared" si="0"/>
        <v>0</v>
      </c>
    </row>
    <row r="6" spans="2:13" s="1" customFormat="1" ht="27" customHeight="1" x14ac:dyDescent="0.25">
      <c r="B6" s="3" t="s">
        <v>7</v>
      </c>
      <c r="C6" s="3"/>
      <c r="D6" s="7">
        <v>3</v>
      </c>
      <c r="E6" s="11">
        <v>75</v>
      </c>
      <c r="F6" s="10" t="s">
        <v>22</v>
      </c>
      <c r="G6" s="8" t="s">
        <v>20</v>
      </c>
      <c r="H6" s="11"/>
      <c r="J6" s="11">
        <v>75</v>
      </c>
      <c r="K6" s="11">
        <f>Marzo2.0!K6</f>
        <v>0</v>
      </c>
      <c r="L6" s="11">
        <f t="shared" si="0"/>
        <v>0</v>
      </c>
    </row>
    <row r="7" spans="2:13" s="1" customFormat="1" ht="27" customHeight="1" x14ac:dyDescent="0.25">
      <c r="B7" s="3" t="s">
        <v>8</v>
      </c>
      <c r="C7" s="3"/>
      <c r="D7" s="7">
        <v>4</v>
      </c>
      <c r="E7" s="11">
        <v>75</v>
      </c>
      <c r="F7" s="9" t="s">
        <v>21</v>
      </c>
      <c r="G7" s="8" t="s">
        <v>20</v>
      </c>
      <c r="H7" s="11">
        <f>K7-E7</f>
        <v>271</v>
      </c>
      <c r="J7" s="11">
        <v>75</v>
      </c>
      <c r="K7" s="11">
        <f>Marzo2.0!K7</f>
        <v>346</v>
      </c>
      <c r="L7" s="11">
        <f>E7-J7+H7</f>
        <v>271</v>
      </c>
    </row>
    <row r="8" spans="2:13" s="1" customFormat="1" ht="27" customHeight="1" x14ac:dyDescent="0.25">
      <c r="B8" s="3" t="s">
        <v>9</v>
      </c>
      <c r="C8" s="3"/>
      <c r="D8" s="7">
        <v>5</v>
      </c>
      <c r="E8" s="11">
        <v>75</v>
      </c>
      <c r="F8" s="10" t="s">
        <v>22</v>
      </c>
      <c r="G8" s="8" t="s">
        <v>20</v>
      </c>
      <c r="H8" s="11"/>
      <c r="J8" s="11">
        <v>75</v>
      </c>
      <c r="K8" s="11">
        <f>Marzo2.0!K8</f>
        <v>0</v>
      </c>
      <c r="L8" s="11">
        <f t="shared" ref="L8:L15" si="1">E8-J8+H8</f>
        <v>0</v>
      </c>
    </row>
    <row r="9" spans="2:13" s="1" customFormat="1" ht="27" customHeight="1" x14ac:dyDescent="0.25">
      <c r="B9" s="3" t="s">
        <v>10</v>
      </c>
      <c r="C9" s="3"/>
      <c r="D9" s="7">
        <v>6</v>
      </c>
      <c r="E9" s="11">
        <v>75</v>
      </c>
      <c r="F9" s="10" t="s">
        <v>22</v>
      </c>
      <c r="G9" s="8" t="s">
        <v>20</v>
      </c>
      <c r="H9" s="11"/>
      <c r="J9" s="11">
        <v>75</v>
      </c>
      <c r="K9" s="11">
        <f>Marzo2.0!K9</f>
        <v>0</v>
      </c>
      <c r="L9" s="11">
        <f t="shared" si="1"/>
        <v>0</v>
      </c>
    </row>
    <row r="10" spans="2:13" s="1" customFormat="1" ht="27" customHeight="1" x14ac:dyDescent="0.25">
      <c r="B10" s="3" t="s">
        <v>23</v>
      </c>
      <c r="C10" s="3"/>
      <c r="D10" s="7">
        <v>7</v>
      </c>
      <c r="E10" s="11">
        <v>75</v>
      </c>
      <c r="F10" s="10" t="s">
        <v>22</v>
      </c>
      <c r="G10" s="8" t="s">
        <v>20</v>
      </c>
      <c r="H10" s="11"/>
      <c r="J10" s="11">
        <v>75</v>
      </c>
      <c r="K10" s="11">
        <f>Marzo2.0!K10</f>
        <v>0</v>
      </c>
      <c r="L10" s="11">
        <f t="shared" si="1"/>
        <v>0</v>
      </c>
      <c r="M10" s="6"/>
    </row>
    <row r="11" spans="2:13" s="1" customFormat="1" ht="27" customHeight="1" x14ac:dyDescent="0.25">
      <c r="B11" s="3" t="s">
        <v>12</v>
      </c>
      <c r="C11" s="3"/>
      <c r="D11" s="7">
        <v>8</v>
      </c>
      <c r="E11" s="11">
        <v>75</v>
      </c>
      <c r="F11" s="10" t="s">
        <v>22</v>
      </c>
      <c r="G11" s="8" t="s">
        <v>20</v>
      </c>
      <c r="H11" s="11"/>
      <c r="J11" s="11">
        <v>75</v>
      </c>
      <c r="K11" s="11">
        <f>Marzo2.0!K11</f>
        <v>0</v>
      </c>
      <c r="L11" s="11">
        <f t="shared" si="1"/>
        <v>0</v>
      </c>
    </row>
    <row r="12" spans="2:13" s="1" customFormat="1" ht="27" customHeight="1" x14ac:dyDescent="0.25">
      <c r="B12" s="3" t="s">
        <v>13</v>
      </c>
      <c r="C12" s="3"/>
      <c r="D12" s="7">
        <v>9</v>
      </c>
      <c r="E12" s="11">
        <v>75</v>
      </c>
      <c r="F12" s="10" t="s">
        <v>22</v>
      </c>
      <c r="G12" s="8" t="s">
        <v>20</v>
      </c>
      <c r="H12" s="11"/>
      <c r="J12" s="11">
        <v>75</v>
      </c>
      <c r="K12" s="11">
        <f>Marzo2.0!K12</f>
        <v>0</v>
      </c>
      <c r="L12" s="11">
        <f t="shared" si="1"/>
        <v>0</v>
      </c>
    </row>
    <row r="13" spans="2:13" s="1" customFormat="1" ht="27" customHeight="1" x14ac:dyDescent="0.25">
      <c r="B13" s="3" t="s">
        <v>14</v>
      </c>
      <c r="C13" s="3"/>
      <c r="D13" s="7">
        <v>10</v>
      </c>
      <c r="E13" s="11">
        <v>75</v>
      </c>
      <c r="F13" s="9" t="s">
        <v>21</v>
      </c>
      <c r="G13" s="8" t="s">
        <v>20</v>
      </c>
      <c r="H13" s="11"/>
      <c r="J13" s="11">
        <v>75</v>
      </c>
      <c r="K13" s="11">
        <f>Marzo2.0!K13</f>
        <v>0</v>
      </c>
      <c r="L13" s="11">
        <f t="shared" si="1"/>
        <v>0</v>
      </c>
    </row>
    <row r="14" spans="2:13" s="1" customFormat="1" ht="27" customHeight="1" x14ac:dyDescent="0.25">
      <c r="B14" s="3" t="s">
        <v>11</v>
      </c>
      <c r="C14" s="3"/>
      <c r="D14" s="7">
        <v>11</v>
      </c>
      <c r="E14" s="11">
        <v>75</v>
      </c>
      <c r="F14" s="10" t="s">
        <v>22</v>
      </c>
      <c r="G14" s="8" t="s">
        <v>20</v>
      </c>
      <c r="H14" s="11"/>
      <c r="J14" s="11">
        <v>75</v>
      </c>
      <c r="K14" s="11">
        <f>Marzo2.0!K14</f>
        <v>0</v>
      </c>
      <c r="L14" s="11">
        <f t="shared" si="1"/>
        <v>0</v>
      </c>
    </row>
    <row r="15" spans="2:13" s="1" customFormat="1" ht="27" customHeight="1" x14ac:dyDescent="0.25">
      <c r="B15" s="3" t="s">
        <v>15</v>
      </c>
      <c r="C15" s="3"/>
      <c r="D15" s="7">
        <v>12</v>
      </c>
      <c r="E15" s="11">
        <v>75</v>
      </c>
      <c r="F15" s="15" t="s">
        <v>22</v>
      </c>
      <c r="G15" s="8" t="s">
        <v>20</v>
      </c>
      <c r="H15" s="11"/>
      <c r="J15" s="11">
        <v>75</v>
      </c>
      <c r="K15" s="11">
        <f>Marzo2.0!K15</f>
        <v>0</v>
      </c>
      <c r="L15" s="11">
        <f t="shared" si="1"/>
        <v>0</v>
      </c>
    </row>
  </sheetData>
  <mergeCells count="1">
    <mergeCell ref="K2:L2"/>
  </mergeCells>
  <hyperlinks>
    <hyperlink ref="F15" r:id="rId1" xr:uid="{EAA502A4-7E40-43E0-8A2B-E4F2526CB841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5DD7-9030-44FE-8F6C-7FB94158A72D}">
  <dimension ref="B2:M15"/>
  <sheetViews>
    <sheetView topLeftCell="A2" workbookViewId="0">
      <selection activeCell="K7" sqref="K7"/>
    </sheetView>
  </sheetViews>
  <sheetFormatPr defaultColWidth="9.140625" defaultRowHeight="27" customHeight="1" x14ac:dyDescent="0.25"/>
  <cols>
    <col min="1" max="1" width="9.140625" style="2"/>
    <col min="2" max="2" width="16.7109375" style="2" customWidth="1"/>
    <col min="3" max="3" width="2.7109375" style="2" customWidth="1"/>
    <col min="4" max="4" width="8.42578125" style="2" customWidth="1"/>
    <col min="5" max="5" width="9.140625" style="12"/>
    <col min="6" max="7" width="9.140625" style="2"/>
    <col min="8" max="8" width="10.7109375" style="2" customWidth="1"/>
    <col min="9" max="9" width="9.140625" style="2"/>
    <col min="10" max="10" width="9.7109375" style="2" bestFit="1" customWidth="1"/>
    <col min="11" max="12" width="19.7109375" style="2" customWidth="1"/>
    <col min="13" max="16384" width="9.140625" style="2"/>
  </cols>
  <sheetData>
    <row r="2" spans="2:13" ht="27" customHeight="1" x14ac:dyDescent="0.25">
      <c r="D2" s="46"/>
      <c r="E2" s="46"/>
      <c r="F2" s="46"/>
      <c r="G2" s="46"/>
      <c r="H2" s="46"/>
      <c r="K2" s="44" t="s">
        <v>24</v>
      </c>
      <c r="L2" s="45"/>
    </row>
    <row r="3" spans="2:13" s="1" customFormat="1" ht="27" customHeight="1" x14ac:dyDescent="0.25">
      <c r="B3" s="3"/>
      <c r="C3" s="3"/>
      <c r="D3" s="7" t="s">
        <v>17</v>
      </c>
      <c r="E3" s="7"/>
      <c r="F3" s="7"/>
      <c r="G3" s="8"/>
      <c r="H3" s="7" t="s">
        <v>18</v>
      </c>
      <c r="J3" s="11"/>
      <c r="K3" s="7" t="s">
        <v>25</v>
      </c>
      <c r="L3" s="7" t="s">
        <v>26</v>
      </c>
    </row>
    <row r="4" spans="2:13" s="1" customFormat="1" ht="27" customHeight="1" x14ac:dyDescent="0.25">
      <c r="B4" s="3" t="s">
        <v>4</v>
      </c>
      <c r="C4" s="3"/>
      <c r="D4" s="7">
        <v>1</v>
      </c>
      <c r="E4" s="11">
        <v>90</v>
      </c>
      <c r="F4" s="7" t="s">
        <v>19</v>
      </c>
      <c r="G4" s="8" t="s">
        <v>20</v>
      </c>
      <c r="H4" s="11">
        <f>IF(K4&gt;0, (K4-E4), 0)</f>
        <v>0</v>
      </c>
      <c r="J4" s="11">
        <v>90</v>
      </c>
      <c r="K4" s="11">
        <f>Abril!L4</f>
        <v>0</v>
      </c>
      <c r="L4" s="11">
        <f t="shared" ref="L4:L5" si="0">E4-J4+H4-IF(K4&lt;0, (K4*-1),0)</f>
        <v>0</v>
      </c>
    </row>
    <row r="5" spans="2:13" s="1" customFormat="1" ht="27" customHeight="1" x14ac:dyDescent="0.25">
      <c r="B5" s="3" t="s">
        <v>5</v>
      </c>
      <c r="C5" s="3"/>
      <c r="D5" s="7">
        <v>2</v>
      </c>
      <c r="E5" s="11">
        <v>90</v>
      </c>
      <c r="F5" s="9" t="s">
        <v>21</v>
      </c>
      <c r="G5" s="8" t="s">
        <v>20</v>
      </c>
      <c r="H5" s="11">
        <v>20</v>
      </c>
      <c r="J5" s="11">
        <v>90</v>
      </c>
      <c r="K5" s="11">
        <f>Abril!L5</f>
        <v>0</v>
      </c>
      <c r="L5" s="11">
        <f t="shared" si="0"/>
        <v>20</v>
      </c>
    </row>
    <row r="6" spans="2:13" s="1" customFormat="1" ht="27" customHeight="1" x14ac:dyDescent="0.25">
      <c r="B6" s="3" t="s">
        <v>7</v>
      </c>
      <c r="C6" s="3"/>
      <c r="D6" s="7">
        <v>3</v>
      </c>
      <c r="E6" s="11">
        <v>90</v>
      </c>
      <c r="F6" s="15" t="s">
        <v>22</v>
      </c>
      <c r="G6" s="8" t="s">
        <v>20</v>
      </c>
      <c r="H6" s="11">
        <f t="shared" ref="H6:H15" si="1">IF(K6&gt;0, (K6-E6), 0)</f>
        <v>0</v>
      </c>
      <c r="J6" s="11">
        <v>90</v>
      </c>
      <c r="K6" s="11">
        <f>Abril!L6</f>
        <v>0</v>
      </c>
      <c r="L6" s="11">
        <f>E6-J6+H6-IF(K6&lt;0, (K6*-1),0)</f>
        <v>0</v>
      </c>
    </row>
    <row r="7" spans="2:13" s="1" customFormat="1" ht="27" customHeight="1" x14ac:dyDescent="0.25">
      <c r="B7" s="3" t="s">
        <v>8</v>
      </c>
      <c r="C7" s="3"/>
      <c r="D7" s="7">
        <v>4</v>
      </c>
      <c r="E7" s="11">
        <v>90</v>
      </c>
      <c r="F7" s="9" t="s">
        <v>21</v>
      </c>
      <c r="G7" s="8" t="s">
        <v>20</v>
      </c>
      <c r="H7" s="11">
        <f t="shared" si="1"/>
        <v>181</v>
      </c>
      <c r="J7" s="11">
        <v>90</v>
      </c>
      <c r="K7" s="11">
        <f>Abril!L7</f>
        <v>271</v>
      </c>
      <c r="L7" s="11">
        <f>E7-J7+H7-IF(K7&lt;0, (K7*-1),0)</f>
        <v>181</v>
      </c>
    </row>
    <row r="8" spans="2:13" s="1" customFormat="1" ht="27" customHeight="1" x14ac:dyDescent="0.25">
      <c r="B8" s="3" t="s">
        <v>9</v>
      </c>
      <c r="C8" s="3"/>
      <c r="D8" s="7">
        <v>5</v>
      </c>
      <c r="E8" s="11">
        <v>90</v>
      </c>
      <c r="F8" s="15" t="s">
        <v>22</v>
      </c>
      <c r="G8" s="8" t="s">
        <v>20</v>
      </c>
      <c r="H8" s="11">
        <f t="shared" si="1"/>
        <v>0</v>
      </c>
      <c r="J8" s="11">
        <v>90</v>
      </c>
      <c r="K8" s="11">
        <f>Abril!L8</f>
        <v>0</v>
      </c>
      <c r="L8" s="11">
        <f t="shared" ref="L8:L15" si="2">E8-J8+H8-IF(K8&lt;0, (K8*-1),0)</f>
        <v>0</v>
      </c>
    </row>
    <row r="9" spans="2:13" s="1" customFormat="1" ht="27" customHeight="1" x14ac:dyDescent="0.25">
      <c r="B9" s="3" t="s">
        <v>10</v>
      </c>
      <c r="C9" s="3"/>
      <c r="D9" s="7">
        <v>6</v>
      </c>
      <c r="E9" s="11">
        <v>90</v>
      </c>
      <c r="F9" s="15" t="s">
        <v>22</v>
      </c>
      <c r="G9" s="8" t="s">
        <v>20</v>
      </c>
      <c r="H9" s="11">
        <f t="shared" si="1"/>
        <v>0</v>
      </c>
      <c r="J9" s="11">
        <v>90</v>
      </c>
      <c r="K9" s="11">
        <f>Abril!L9</f>
        <v>0</v>
      </c>
      <c r="L9" s="11">
        <f t="shared" si="2"/>
        <v>0</v>
      </c>
    </row>
    <row r="10" spans="2:13" s="1" customFormat="1" ht="27" customHeight="1" x14ac:dyDescent="0.25">
      <c r="B10" s="3" t="s">
        <v>23</v>
      </c>
      <c r="C10" s="3"/>
      <c r="D10" s="7">
        <v>7</v>
      </c>
      <c r="E10" s="11">
        <v>90</v>
      </c>
      <c r="F10" s="15" t="s">
        <v>22</v>
      </c>
      <c r="G10" s="8" t="s">
        <v>20</v>
      </c>
      <c r="H10" s="11">
        <f t="shared" si="1"/>
        <v>0</v>
      </c>
      <c r="J10" s="11">
        <v>90</v>
      </c>
      <c r="K10" s="11">
        <f>Abril!L10</f>
        <v>0</v>
      </c>
      <c r="L10" s="11">
        <f t="shared" si="2"/>
        <v>0</v>
      </c>
      <c r="M10" s="6"/>
    </row>
    <row r="11" spans="2:13" s="1" customFormat="1" ht="27" customHeight="1" x14ac:dyDescent="0.25">
      <c r="B11" s="3" t="s">
        <v>12</v>
      </c>
      <c r="C11" s="3"/>
      <c r="D11" s="7">
        <v>8</v>
      </c>
      <c r="E11" s="11">
        <v>90</v>
      </c>
      <c r="F11" s="15" t="s">
        <v>22</v>
      </c>
      <c r="G11" s="8" t="s">
        <v>20</v>
      </c>
      <c r="H11" s="11">
        <f t="shared" si="1"/>
        <v>0</v>
      </c>
      <c r="J11" s="11">
        <v>90</v>
      </c>
      <c r="K11" s="11">
        <f>Abril!L11</f>
        <v>0</v>
      </c>
      <c r="L11" s="11">
        <f t="shared" si="2"/>
        <v>0</v>
      </c>
    </row>
    <row r="12" spans="2:13" s="1" customFormat="1" ht="27" customHeight="1" x14ac:dyDescent="0.25">
      <c r="B12" s="3" t="s">
        <v>13</v>
      </c>
      <c r="C12" s="3"/>
      <c r="D12" s="7">
        <v>9</v>
      </c>
      <c r="E12" s="11">
        <v>90</v>
      </c>
      <c r="F12" s="15" t="s">
        <v>22</v>
      </c>
      <c r="G12" s="8" t="s">
        <v>20</v>
      </c>
      <c r="H12" s="11">
        <f t="shared" si="1"/>
        <v>0</v>
      </c>
      <c r="J12" s="11">
        <v>90</v>
      </c>
      <c r="K12" s="11">
        <f>Abril!L12</f>
        <v>0</v>
      </c>
      <c r="L12" s="11">
        <f t="shared" si="2"/>
        <v>0</v>
      </c>
    </row>
    <row r="13" spans="2:13" s="1" customFormat="1" ht="27" customHeight="1" x14ac:dyDescent="0.25">
      <c r="B13" s="3" t="s">
        <v>14</v>
      </c>
      <c r="C13" s="3"/>
      <c r="D13" s="7">
        <v>10</v>
      </c>
      <c r="E13" s="11">
        <v>90</v>
      </c>
      <c r="F13" s="9" t="s">
        <v>21</v>
      </c>
      <c r="G13" s="8" t="s">
        <v>20</v>
      </c>
      <c r="H13" s="11">
        <f t="shared" si="1"/>
        <v>0</v>
      </c>
      <c r="J13" s="11">
        <v>90</v>
      </c>
      <c r="K13" s="11">
        <f>Abril!L13</f>
        <v>0</v>
      </c>
      <c r="L13" s="11">
        <f t="shared" si="2"/>
        <v>0</v>
      </c>
    </row>
    <row r="14" spans="2:13" s="1" customFormat="1" ht="27" customHeight="1" x14ac:dyDescent="0.25">
      <c r="B14" s="3" t="s">
        <v>11</v>
      </c>
      <c r="C14" s="3"/>
      <c r="D14" s="7">
        <v>11</v>
      </c>
      <c r="E14" s="11">
        <v>90</v>
      </c>
      <c r="F14" s="15" t="s">
        <v>22</v>
      </c>
      <c r="G14" s="8" t="s">
        <v>20</v>
      </c>
      <c r="H14" s="11">
        <f t="shared" si="1"/>
        <v>0</v>
      </c>
      <c r="J14" s="11">
        <v>90</v>
      </c>
      <c r="K14" s="11">
        <f>Abril!L14</f>
        <v>0</v>
      </c>
      <c r="L14" s="11">
        <f t="shared" si="2"/>
        <v>0</v>
      </c>
    </row>
    <row r="15" spans="2:13" s="1" customFormat="1" ht="27" customHeight="1" x14ac:dyDescent="0.25">
      <c r="B15" s="3" t="s">
        <v>15</v>
      </c>
      <c r="C15" s="3"/>
      <c r="D15" s="7">
        <v>12</v>
      </c>
      <c r="E15" s="11">
        <v>90</v>
      </c>
      <c r="F15" s="15" t="s">
        <v>22</v>
      </c>
      <c r="G15" s="8" t="s">
        <v>20</v>
      </c>
      <c r="H15" s="11">
        <f t="shared" si="1"/>
        <v>0</v>
      </c>
      <c r="J15" s="11">
        <v>90</v>
      </c>
      <c r="K15" s="11">
        <f>Abril!L15</f>
        <v>0</v>
      </c>
      <c r="L15" s="11">
        <f t="shared" si="2"/>
        <v>0</v>
      </c>
    </row>
  </sheetData>
  <mergeCells count="2">
    <mergeCell ref="K2:L2"/>
    <mergeCell ref="D2:H2"/>
  </mergeCells>
  <hyperlinks>
    <hyperlink ref="F14" r:id="rId1" xr:uid="{D555A731-404A-42B3-AA21-9DBBA320B87D}"/>
    <hyperlink ref="F15" r:id="rId2" xr:uid="{B997A201-90BF-4013-8CD2-A390E87D29D5}"/>
    <hyperlink ref="F12" r:id="rId3" xr:uid="{E5976984-B38C-4FFF-8CA2-215A123FB9CA}"/>
    <hyperlink ref="F9" r:id="rId4" xr:uid="{C90543A6-F17A-49E1-B39B-1F80B4437627}"/>
    <hyperlink ref="F8" r:id="rId5" xr:uid="{38715761-D000-4C17-8964-336A2133483B}"/>
    <hyperlink ref="F11" r:id="rId6" xr:uid="{296EF0FB-D623-4F33-8616-AEDFB7E942B2}"/>
    <hyperlink ref="F6" r:id="rId7" xr:uid="{60C58058-0B16-49FB-B514-DADFDC3716FB}"/>
    <hyperlink ref="F10" r:id="rId8" xr:uid="{A1EF2CC9-79EB-478D-9DA3-7A0CC9440F8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2DCF-0CE5-4394-9AB5-CBC189D75277}">
  <dimension ref="B2:M15"/>
  <sheetViews>
    <sheetView workbookViewId="0">
      <selection activeCell="F8" sqref="F8"/>
    </sheetView>
  </sheetViews>
  <sheetFormatPr defaultColWidth="9.140625" defaultRowHeight="27" customHeight="1" x14ac:dyDescent="0.25"/>
  <cols>
    <col min="1" max="1" width="9.140625" style="2"/>
    <col min="2" max="2" width="16.7109375" style="2" customWidth="1"/>
    <col min="3" max="3" width="2.7109375" style="2" customWidth="1"/>
    <col min="4" max="4" width="8.42578125" style="2" customWidth="1"/>
    <col min="5" max="5" width="9.140625" style="12"/>
    <col min="6" max="7" width="9.140625" style="2"/>
    <col min="8" max="8" width="10.7109375" style="2" customWidth="1"/>
    <col min="9" max="9" width="4.1406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3" ht="27" customHeight="1" x14ac:dyDescent="0.25">
      <c r="D2" s="46"/>
      <c r="E2" s="46"/>
      <c r="F2" s="46"/>
      <c r="G2" s="46"/>
      <c r="H2" s="46"/>
      <c r="I2" s="4"/>
      <c r="K2" s="44" t="s">
        <v>24</v>
      </c>
      <c r="L2" s="45"/>
    </row>
    <row r="3" spans="2:13" s="1" customFormat="1" ht="27" customHeight="1" x14ac:dyDescent="0.25">
      <c r="B3" s="3"/>
      <c r="C3" s="3"/>
      <c r="D3" s="7" t="s">
        <v>17</v>
      </c>
      <c r="E3" s="7"/>
      <c r="F3" s="7"/>
      <c r="G3" s="8"/>
      <c r="H3" s="7" t="s">
        <v>18</v>
      </c>
      <c r="I3" s="4"/>
      <c r="J3" s="11"/>
      <c r="K3" s="7" t="s">
        <v>25</v>
      </c>
      <c r="L3" s="7" t="s">
        <v>26</v>
      </c>
    </row>
    <row r="4" spans="2:13" s="1" customFormat="1" ht="27" customHeight="1" x14ac:dyDescent="0.25">
      <c r="B4" s="3" t="s">
        <v>4</v>
      </c>
      <c r="C4" s="3"/>
      <c r="D4" s="7">
        <v>1</v>
      </c>
      <c r="E4" s="11">
        <v>78</v>
      </c>
      <c r="F4" s="7" t="s">
        <v>19</v>
      </c>
      <c r="G4" s="8" t="s">
        <v>20</v>
      </c>
      <c r="H4" s="11">
        <f>IF(K4&gt;0, (K4-E4), 0)</f>
        <v>0</v>
      </c>
      <c r="I4" s="16"/>
      <c r="J4" s="11">
        <v>78</v>
      </c>
      <c r="K4" s="11">
        <f>Mayo!L4</f>
        <v>0</v>
      </c>
      <c r="L4" s="11">
        <f t="shared" ref="L4:L15" si="0">E4-J4+H4-IF(K4&lt;0, (K4*-1),0)</f>
        <v>0</v>
      </c>
    </row>
    <row r="5" spans="2:13" s="1" customFormat="1" ht="27" customHeight="1" x14ac:dyDescent="0.25">
      <c r="B5" s="3" t="s">
        <v>5</v>
      </c>
      <c r="C5" s="3"/>
      <c r="D5" s="7">
        <v>2</v>
      </c>
      <c r="E5" s="11">
        <v>77</v>
      </c>
      <c r="F5" s="9" t="s">
        <v>21</v>
      </c>
      <c r="G5" s="8" t="s">
        <v>20</v>
      </c>
      <c r="H5" s="11">
        <v>43</v>
      </c>
      <c r="I5" s="16"/>
      <c r="J5" s="11">
        <v>77</v>
      </c>
      <c r="K5" s="11">
        <f>Mayo!L5</f>
        <v>20</v>
      </c>
      <c r="L5" s="11">
        <f t="shared" si="0"/>
        <v>43</v>
      </c>
    </row>
    <row r="6" spans="2:13" s="1" customFormat="1" ht="27" customHeight="1" x14ac:dyDescent="0.25">
      <c r="B6" s="3" t="s">
        <v>7</v>
      </c>
      <c r="C6" s="3"/>
      <c r="D6" s="7">
        <v>3</v>
      </c>
      <c r="E6" s="11">
        <v>77</v>
      </c>
      <c r="F6" s="10" t="s">
        <v>22</v>
      </c>
      <c r="G6" s="8" t="s">
        <v>20</v>
      </c>
      <c r="H6" s="11">
        <f t="shared" ref="H6:H15" si="1">IF(K6&gt;0, (K6-E6), 0)</f>
        <v>0</v>
      </c>
      <c r="I6" s="16"/>
      <c r="J6" s="11">
        <v>77</v>
      </c>
      <c r="K6" s="11">
        <f>Mayo!L6</f>
        <v>0</v>
      </c>
      <c r="L6" s="11">
        <f t="shared" si="0"/>
        <v>0</v>
      </c>
    </row>
    <row r="7" spans="2:13" s="1" customFormat="1" ht="27" customHeight="1" x14ac:dyDescent="0.25">
      <c r="B7" s="3" t="s">
        <v>8</v>
      </c>
      <c r="C7" s="3"/>
      <c r="D7" s="7">
        <v>4</v>
      </c>
      <c r="E7" s="11">
        <v>77</v>
      </c>
      <c r="F7" s="9" t="s">
        <v>21</v>
      </c>
      <c r="G7" s="8" t="s">
        <v>20</v>
      </c>
      <c r="H7" s="11">
        <f t="shared" si="1"/>
        <v>104</v>
      </c>
      <c r="I7" s="16"/>
      <c r="J7" s="11">
        <v>77</v>
      </c>
      <c r="K7" s="11">
        <f>Mayo!L7</f>
        <v>181</v>
      </c>
      <c r="L7" s="11">
        <f t="shared" si="0"/>
        <v>104</v>
      </c>
    </row>
    <row r="8" spans="2:13" s="1" customFormat="1" ht="27" customHeight="1" x14ac:dyDescent="0.25">
      <c r="B8" s="3" t="s">
        <v>9</v>
      </c>
      <c r="C8" s="3"/>
      <c r="D8" s="7">
        <v>5</v>
      </c>
      <c r="E8" s="11">
        <v>78</v>
      </c>
      <c r="F8" s="10" t="s">
        <v>22</v>
      </c>
      <c r="G8" s="8" t="s">
        <v>20</v>
      </c>
      <c r="H8" s="11">
        <f t="shared" si="1"/>
        <v>0</v>
      </c>
      <c r="I8" s="16"/>
      <c r="J8" s="11">
        <v>78</v>
      </c>
      <c r="K8" s="11">
        <f>Mayo!L8</f>
        <v>0</v>
      </c>
      <c r="L8" s="11">
        <f t="shared" si="0"/>
        <v>0</v>
      </c>
    </row>
    <row r="9" spans="2:13" s="1" customFormat="1" ht="27" customHeight="1" x14ac:dyDescent="0.25">
      <c r="B9" s="3" t="s">
        <v>10</v>
      </c>
      <c r="C9" s="3"/>
      <c r="D9" s="7">
        <v>6</v>
      </c>
      <c r="E9" s="11">
        <v>78</v>
      </c>
      <c r="F9" s="10" t="s">
        <v>22</v>
      </c>
      <c r="G9" s="8" t="s">
        <v>20</v>
      </c>
      <c r="H9" s="11">
        <f t="shared" si="1"/>
        <v>0</v>
      </c>
      <c r="I9" s="16"/>
      <c r="J9" s="11">
        <v>78</v>
      </c>
      <c r="K9" s="11">
        <f>Mayo!L9</f>
        <v>0</v>
      </c>
      <c r="L9" s="11">
        <f t="shared" si="0"/>
        <v>0</v>
      </c>
    </row>
    <row r="10" spans="2:13" s="1" customFormat="1" ht="27" customHeight="1" x14ac:dyDescent="0.25">
      <c r="B10" s="3" t="s">
        <v>23</v>
      </c>
      <c r="C10" s="3"/>
      <c r="D10" s="7">
        <v>7</v>
      </c>
      <c r="E10" s="11">
        <v>78</v>
      </c>
      <c r="F10" s="10" t="s">
        <v>22</v>
      </c>
      <c r="G10" s="8" t="s">
        <v>20</v>
      </c>
      <c r="H10" s="11">
        <f t="shared" si="1"/>
        <v>0</v>
      </c>
      <c r="I10" s="16"/>
      <c r="J10" s="11">
        <v>78</v>
      </c>
      <c r="K10" s="11">
        <f>Mayo!L10</f>
        <v>0</v>
      </c>
      <c r="L10" s="11">
        <f t="shared" si="0"/>
        <v>0</v>
      </c>
      <c r="M10" s="6"/>
    </row>
    <row r="11" spans="2:13" s="1" customFormat="1" ht="27" customHeight="1" x14ac:dyDescent="0.25">
      <c r="B11" s="3" t="s">
        <v>12</v>
      </c>
      <c r="C11" s="3"/>
      <c r="D11" s="7">
        <v>8</v>
      </c>
      <c r="E11" s="11">
        <v>77</v>
      </c>
      <c r="F11" s="10" t="s">
        <v>22</v>
      </c>
      <c r="G11" s="8" t="s">
        <v>20</v>
      </c>
      <c r="H11" s="11">
        <f t="shared" si="1"/>
        <v>0</v>
      </c>
      <c r="I11" s="16"/>
      <c r="J11" s="11">
        <v>77</v>
      </c>
      <c r="K11" s="11">
        <f>Mayo!L11</f>
        <v>0</v>
      </c>
      <c r="L11" s="11">
        <f t="shared" si="0"/>
        <v>0</v>
      </c>
    </row>
    <row r="12" spans="2:13" s="1" customFormat="1" ht="27" customHeight="1" x14ac:dyDescent="0.25">
      <c r="B12" s="3" t="s">
        <v>13</v>
      </c>
      <c r="C12" s="3"/>
      <c r="D12" s="7">
        <v>9</v>
      </c>
      <c r="E12" s="11">
        <v>77</v>
      </c>
      <c r="F12" s="10" t="s">
        <v>22</v>
      </c>
      <c r="G12" s="8" t="s">
        <v>20</v>
      </c>
      <c r="H12" s="11">
        <f t="shared" si="1"/>
        <v>0</v>
      </c>
      <c r="I12" s="16"/>
      <c r="J12" s="11">
        <v>77</v>
      </c>
      <c r="K12" s="11">
        <f>Mayo!L12</f>
        <v>0</v>
      </c>
      <c r="L12" s="11">
        <f t="shared" si="0"/>
        <v>0</v>
      </c>
    </row>
    <row r="13" spans="2:13" s="1" customFormat="1" ht="27" customHeight="1" x14ac:dyDescent="0.25">
      <c r="B13" s="3" t="s">
        <v>14</v>
      </c>
      <c r="C13" s="3"/>
      <c r="D13" s="7">
        <v>10</v>
      </c>
      <c r="E13" s="11">
        <v>77</v>
      </c>
      <c r="F13" s="9"/>
      <c r="G13" s="8"/>
      <c r="H13" s="11">
        <f t="shared" si="1"/>
        <v>0</v>
      </c>
      <c r="I13" s="16"/>
      <c r="J13" s="11">
        <v>77</v>
      </c>
      <c r="K13" s="11">
        <f>Mayo!L13</f>
        <v>0</v>
      </c>
      <c r="L13" s="11">
        <f t="shared" si="0"/>
        <v>0</v>
      </c>
    </row>
    <row r="14" spans="2:13" s="1" customFormat="1" ht="27" customHeight="1" x14ac:dyDescent="0.25">
      <c r="B14" s="3" t="s">
        <v>11</v>
      </c>
      <c r="C14" s="3"/>
      <c r="D14" s="7">
        <v>11</v>
      </c>
      <c r="E14" s="11">
        <v>78</v>
      </c>
      <c r="F14" s="10" t="s">
        <v>22</v>
      </c>
      <c r="G14" s="8" t="s">
        <v>20</v>
      </c>
      <c r="H14" s="11">
        <f t="shared" si="1"/>
        <v>0</v>
      </c>
      <c r="I14" s="16"/>
      <c r="J14" s="11">
        <v>78</v>
      </c>
      <c r="K14" s="11">
        <f>Mayo!L14</f>
        <v>0</v>
      </c>
      <c r="L14" s="11">
        <f t="shared" si="0"/>
        <v>0</v>
      </c>
    </row>
    <row r="15" spans="2:13" s="1" customFormat="1" ht="27" customHeight="1" x14ac:dyDescent="0.25">
      <c r="B15" s="3" t="s">
        <v>15</v>
      </c>
      <c r="C15" s="3"/>
      <c r="D15" s="7">
        <v>12</v>
      </c>
      <c r="E15" s="11">
        <v>78</v>
      </c>
      <c r="F15" s="10" t="s">
        <v>22</v>
      </c>
      <c r="G15" s="8" t="s">
        <v>20</v>
      </c>
      <c r="H15" s="11">
        <f t="shared" si="1"/>
        <v>0</v>
      </c>
      <c r="I15" s="16"/>
      <c r="J15" s="11">
        <v>78</v>
      </c>
      <c r="K15" s="11">
        <f>Mayo!L15</f>
        <v>0</v>
      </c>
      <c r="L15" s="11">
        <f t="shared" si="0"/>
        <v>0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2A55-F22D-40FA-BA29-758AE45CDEB6}">
  <dimension ref="B2:M15"/>
  <sheetViews>
    <sheetView workbookViewId="0">
      <selection activeCell="F7" sqref="F7"/>
    </sheetView>
  </sheetViews>
  <sheetFormatPr defaultColWidth="9.140625" defaultRowHeight="27" customHeight="1" x14ac:dyDescent="0.25"/>
  <cols>
    <col min="1" max="1" width="9.140625" style="2"/>
    <col min="2" max="2" width="16.7109375" style="2" customWidth="1"/>
    <col min="3" max="3" width="2.7109375" style="2" customWidth="1"/>
    <col min="4" max="4" width="8.42578125" style="2" customWidth="1"/>
    <col min="5" max="5" width="9.140625" style="12"/>
    <col min="6" max="7" width="9.140625" style="2"/>
    <col min="8" max="8" width="10.7109375" style="2" customWidth="1"/>
    <col min="9" max="9" width="4.1406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3" ht="15" x14ac:dyDescent="0.25">
      <c r="D2" s="46"/>
      <c r="E2" s="46"/>
      <c r="F2" s="46"/>
      <c r="G2" s="46"/>
      <c r="H2" s="46"/>
      <c r="I2" s="4"/>
      <c r="K2" s="44" t="s">
        <v>24</v>
      </c>
      <c r="L2" s="45"/>
    </row>
    <row r="3" spans="2:13" s="1" customFormat="1" ht="27" customHeight="1" x14ac:dyDescent="0.25">
      <c r="B3" s="3"/>
      <c r="C3" s="3"/>
      <c r="D3" s="7" t="s">
        <v>17</v>
      </c>
      <c r="E3" s="7"/>
      <c r="F3" s="7"/>
      <c r="G3" s="8"/>
      <c r="H3" s="7" t="s">
        <v>18</v>
      </c>
      <c r="I3" s="4"/>
      <c r="J3" s="11"/>
      <c r="K3" s="7" t="s">
        <v>25</v>
      </c>
      <c r="L3" s="7" t="s">
        <v>26</v>
      </c>
    </row>
    <row r="4" spans="2:13" s="1" customFormat="1" ht="27" customHeight="1" x14ac:dyDescent="0.25">
      <c r="B4" s="3" t="s">
        <v>4</v>
      </c>
      <c r="C4" s="3"/>
      <c r="D4" s="7">
        <v>1</v>
      </c>
      <c r="E4" s="11">
        <v>81</v>
      </c>
      <c r="F4" s="7" t="s">
        <v>19</v>
      </c>
      <c r="G4" s="8" t="s">
        <v>20</v>
      </c>
      <c r="H4" s="11">
        <f>IF(K4&gt;0, (K4-E4), 0)</f>
        <v>0</v>
      </c>
      <c r="I4" s="16"/>
      <c r="J4" s="11">
        <v>81</v>
      </c>
      <c r="K4" s="11">
        <f>Junio!L4</f>
        <v>0</v>
      </c>
      <c r="L4" s="11">
        <f t="shared" ref="L4:L15" si="0">E4-J4+H4-IF(K4&lt;0, (K4*-1),0)</f>
        <v>0</v>
      </c>
    </row>
    <row r="5" spans="2:13" s="1" customFormat="1" ht="27" customHeight="1" x14ac:dyDescent="0.25">
      <c r="B5" s="3" t="s">
        <v>5</v>
      </c>
      <c r="C5" s="3"/>
      <c r="D5" s="7">
        <v>2</v>
      </c>
      <c r="E5" s="11">
        <v>81</v>
      </c>
      <c r="F5" s="9" t="s">
        <v>21</v>
      </c>
      <c r="G5" s="8" t="s">
        <v>20</v>
      </c>
      <c r="H5" s="11">
        <v>12</v>
      </c>
      <c r="I5" s="16"/>
      <c r="J5" s="11">
        <v>81</v>
      </c>
      <c r="K5" s="11">
        <f>Junio!L5</f>
        <v>43</v>
      </c>
      <c r="L5" s="11">
        <f t="shared" si="0"/>
        <v>12</v>
      </c>
    </row>
    <row r="6" spans="2:13" s="1" customFormat="1" ht="27" customHeight="1" x14ac:dyDescent="0.25">
      <c r="B6" s="3" t="s">
        <v>7</v>
      </c>
      <c r="C6" s="3"/>
      <c r="D6" s="7">
        <v>3</v>
      </c>
      <c r="E6" s="11">
        <v>81</v>
      </c>
      <c r="F6" s="10" t="s">
        <v>22</v>
      </c>
      <c r="G6" s="8" t="s">
        <v>20</v>
      </c>
      <c r="H6" s="11">
        <f t="shared" ref="H6:H15" si="1">IF(K6&gt;0, (K6-E6), 0)</f>
        <v>0</v>
      </c>
      <c r="I6" s="16"/>
      <c r="J6" s="11">
        <v>81</v>
      </c>
      <c r="K6" s="11">
        <f>Junio!L6</f>
        <v>0</v>
      </c>
      <c r="L6" s="11">
        <f t="shared" si="0"/>
        <v>0</v>
      </c>
    </row>
    <row r="7" spans="2:13" s="1" customFormat="1" ht="27" customHeight="1" x14ac:dyDescent="0.25">
      <c r="B7" s="3" t="s">
        <v>8</v>
      </c>
      <c r="C7" s="3"/>
      <c r="D7" s="7">
        <v>4</v>
      </c>
      <c r="E7" s="11">
        <v>81</v>
      </c>
      <c r="F7" s="9" t="s">
        <v>21</v>
      </c>
      <c r="G7" s="8" t="s">
        <v>20</v>
      </c>
      <c r="H7" s="11">
        <f t="shared" si="1"/>
        <v>23</v>
      </c>
      <c r="I7" s="16"/>
      <c r="J7" s="11">
        <v>81</v>
      </c>
      <c r="K7" s="11">
        <f>Junio!L7</f>
        <v>104</v>
      </c>
      <c r="L7" s="11">
        <f t="shared" si="0"/>
        <v>23</v>
      </c>
    </row>
    <row r="8" spans="2:13" s="1" customFormat="1" ht="27" customHeight="1" x14ac:dyDescent="0.25">
      <c r="B8" s="3" t="s">
        <v>9</v>
      </c>
      <c r="C8" s="3"/>
      <c r="D8" s="7">
        <v>5</v>
      </c>
      <c r="E8" s="11">
        <v>81</v>
      </c>
      <c r="F8" s="10" t="s">
        <v>22</v>
      </c>
      <c r="G8" s="8" t="s">
        <v>20</v>
      </c>
      <c r="H8" s="11">
        <f t="shared" si="1"/>
        <v>0</v>
      </c>
      <c r="I8" s="16"/>
      <c r="J8" s="11">
        <v>81</v>
      </c>
      <c r="K8" s="11">
        <f>Junio!L8</f>
        <v>0</v>
      </c>
      <c r="L8" s="11">
        <f t="shared" si="0"/>
        <v>0</v>
      </c>
    </row>
    <row r="9" spans="2:13" s="1" customFormat="1" ht="27" customHeight="1" x14ac:dyDescent="0.25">
      <c r="B9" s="3" t="s">
        <v>10</v>
      </c>
      <c r="C9" s="3"/>
      <c r="D9" s="7">
        <v>6</v>
      </c>
      <c r="E9" s="11">
        <v>81</v>
      </c>
      <c r="F9" s="10" t="s">
        <v>22</v>
      </c>
      <c r="G9" s="8" t="s">
        <v>20</v>
      </c>
      <c r="H9" s="11">
        <f t="shared" si="1"/>
        <v>0</v>
      </c>
      <c r="I9" s="16"/>
      <c r="J9" s="11">
        <v>81</v>
      </c>
      <c r="K9" s="11">
        <f>Junio!L9</f>
        <v>0</v>
      </c>
      <c r="L9" s="11">
        <f t="shared" si="0"/>
        <v>0</v>
      </c>
    </row>
    <row r="10" spans="2:13" s="1" customFormat="1" ht="27" customHeight="1" x14ac:dyDescent="0.25">
      <c r="B10" s="3" t="s">
        <v>23</v>
      </c>
      <c r="C10" s="3"/>
      <c r="D10" s="7">
        <v>7</v>
      </c>
      <c r="E10" s="11">
        <v>81</v>
      </c>
      <c r="F10" s="10" t="s">
        <v>22</v>
      </c>
      <c r="G10" s="8" t="s">
        <v>20</v>
      </c>
      <c r="H10" s="11">
        <f t="shared" si="1"/>
        <v>0</v>
      </c>
      <c r="I10" s="16"/>
      <c r="J10" s="11">
        <v>81</v>
      </c>
      <c r="K10" s="11">
        <f>Junio!L10</f>
        <v>0</v>
      </c>
      <c r="L10" s="11">
        <f t="shared" si="0"/>
        <v>0</v>
      </c>
      <c r="M10" s="6"/>
    </row>
    <row r="11" spans="2:13" s="1" customFormat="1" ht="27" customHeight="1" x14ac:dyDescent="0.25">
      <c r="B11" s="3" t="s">
        <v>12</v>
      </c>
      <c r="C11" s="3"/>
      <c r="D11" s="7">
        <v>8</v>
      </c>
      <c r="E11" s="11">
        <v>81</v>
      </c>
      <c r="F11" s="10" t="s">
        <v>22</v>
      </c>
      <c r="G11" s="8" t="s">
        <v>20</v>
      </c>
      <c r="H11" s="11">
        <f t="shared" si="1"/>
        <v>0</v>
      </c>
      <c r="I11" s="16"/>
      <c r="J11" s="11">
        <v>81</v>
      </c>
      <c r="K11" s="11">
        <f>Junio!L11</f>
        <v>0</v>
      </c>
      <c r="L11" s="11">
        <f t="shared" si="0"/>
        <v>0</v>
      </c>
    </row>
    <row r="12" spans="2:13" s="1" customFormat="1" ht="27" customHeight="1" x14ac:dyDescent="0.25">
      <c r="B12" s="3" t="s">
        <v>13</v>
      </c>
      <c r="C12" s="3"/>
      <c r="D12" s="7">
        <v>9</v>
      </c>
      <c r="E12" s="11">
        <v>81</v>
      </c>
      <c r="F12" s="10" t="s">
        <v>22</v>
      </c>
      <c r="G12" s="8" t="s">
        <v>20</v>
      </c>
      <c r="H12" s="11">
        <f t="shared" si="1"/>
        <v>0</v>
      </c>
      <c r="I12" s="16"/>
      <c r="J12" s="11">
        <v>81</v>
      </c>
      <c r="K12" s="11">
        <f>Junio!L12</f>
        <v>0</v>
      </c>
      <c r="L12" s="11">
        <f t="shared" si="0"/>
        <v>0</v>
      </c>
    </row>
    <row r="13" spans="2:13" s="1" customFormat="1" ht="27" customHeight="1" x14ac:dyDescent="0.25">
      <c r="B13" s="3" t="s">
        <v>14</v>
      </c>
      <c r="C13" s="3"/>
      <c r="D13" s="7">
        <v>10</v>
      </c>
      <c r="E13" s="11">
        <v>81</v>
      </c>
      <c r="F13" s="10" t="s">
        <v>22</v>
      </c>
      <c r="G13" s="8" t="s">
        <v>20</v>
      </c>
      <c r="H13" s="11">
        <f t="shared" si="1"/>
        <v>0</v>
      </c>
      <c r="I13" s="16"/>
      <c r="J13" s="11">
        <v>81</v>
      </c>
      <c r="K13" s="11">
        <f>Junio!L13</f>
        <v>0</v>
      </c>
      <c r="L13" s="11">
        <f t="shared" si="0"/>
        <v>0</v>
      </c>
    </row>
    <row r="14" spans="2:13" s="1" customFormat="1" ht="27" customHeight="1" x14ac:dyDescent="0.25">
      <c r="B14" s="3" t="s">
        <v>11</v>
      </c>
      <c r="C14" s="3"/>
      <c r="D14" s="7">
        <v>11</v>
      </c>
      <c r="E14" s="11">
        <v>81</v>
      </c>
      <c r="F14" s="10" t="s">
        <v>22</v>
      </c>
      <c r="G14" s="8" t="s">
        <v>20</v>
      </c>
      <c r="H14" s="11">
        <f t="shared" si="1"/>
        <v>0</v>
      </c>
      <c r="I14" s="16"/>
      <c r="J14" s="11">
        <v>81</v>
      </c>
      <c r="K14" s="11">
        <f>Junio!L14</f>
        <v>0</v>
      </c>
      <c r="L14" s="11">
        <f t="shared" si="0"/>
        <v>0</v>
      </c>
    </row>
    <row r="15" spans="2:13" s="1" customFormat="1" ht="27" customHeight="1" x14ac:dyDescent="0.25">
      <c r="B15" s="3" t="s">
        <v>27</v>
      </c>
      <c r="C15" s="3"/>
      <c r="D15" s="7">
        <v>12</v>
      </c>
      <c r="E15" s="11">
        <v>81</v>
      </c>
      <c r="F15" s="10" t="s">
        <v>22</v>
      </c>
      <c r="G15" s="8" t="s">
        <v>20</v>
      </c>
      <c r="H15" s="11">
        <f t="shared" si="1"/>
        <v>0</v>
      </c>
      <c r="I15" s="16"/>
      <c r="J15" s="11">
        <v>81</v>
      </c>
      <c r="K15" s="11">
        <f>Junio!L15</f>
        <v>0</v>
      </c>
      <c r="L15" s="11">
        <f t="shared" si="0"/>
        <v>0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AFFB-7442-4F18-A358-40BC9A56E3BA}">
  <dimension ref="B2:M15"/>
  <sheetViews>
    <sheetView zoomScaleNormal="100" workbookViewId="0">
      <selection activeCell="F6" sqref="F6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9.140625" style="12"/>
    <col min="6" max="7" width="9.140625" style="2"/>
    <col min="8" max="8" width="10.7109375" style="2" customWidth="1"/>
    <col min="9" max="9" width="22.285156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3" ht="15" x14ac:dyDescent="0.25">
      <c r="D2" s="46"/>
      <c r="E2" s="46"/>
      <c r="F2" s="46"/>
      <c r="G2" s="46"/>
      <c r="H2" s="46"/>
      <c r="I2" s="4"/>
      <c r="K2" s="44" t="s">
        <v>24</v>
      </c>
      <c r="L2" s="45"/>
    </row>
    <row r="3" spans="2:13" s="1" customFormat="1" ht="27" customHeight="1" x14ac:dyDescent="0.25">
      <c r="B3" s="3"/>
      <c r="C3" s="3"/>
      <c r="D3" s="7" t="s">
        <v>17</v>
      </c>
      <c r="E3" s="7"/>
      <c r="F3" s="7"/>
      <c r="G3" s="8"/>
      <c r="H3" s="7" t="s">
        <v>18</v>
      </c>
      <c r="I3" s="4"/>
      <c r="J3" s="11"/>
      <c r="K3" s="7" t="s">
        <v>25</v>
      </c>
      <c r="L3" s="7" t="s">
        <v>26</v>
      </c>
    </row>
    <row r="4" spans="2:13" s="1" customFormat="1" ht="27" customHeight="1" x14ac:dyDescent="0.25">
      <c r="B4" s="3" t="s">
        <v>4</v>
      </c>
      <c r="C4" s="3"/>
      <c r="D4" s="7">
        <v>1</v>
      </c>
      <c r="E4" s="11">
        <v>78</v>
      </c>
      <c r="F4" s="7" t="s">
        <v>19</v>
      </c>
      <c r="G4" s="8" t="s">
        <v>20</v>
      </c>
      <c r="H4" s="11">
        <f>IF(K4&gt;0, (K4-E4), 0)</f>
        <v>0</v>
      </c>
      <c r="I4" s="16"/>
      <c r="J4" s="11">
        <v>78</v>
      </c>
      <c r="K4" s="11">
        <f>Julio!L4</f>
        <v>0</v>
      </c>
      <c r="L4" s="11">
        <f t="shared" ref="L4:L15" si="0">E4-J4+H4-IF(K4&lt;0, (K4*-1),0)</f>
        <v>0</v>
      </c>
    </row>
    <row r="5" spans="2:13" s="1" customFormat="1" ht="27" customHeight="1" x14ac:dyDescent="0.25">
      <c r="B5" s="3" t="s">
        <v>5</v>
      </c>
      <c r="C5" s="3"/>
      <c r="D5" s="7">
        <v>2</v>
      </c>
      <c r="E5" s="11">
        <v>78</v>
      </c>
      <c r="F5" s="9" t="s">
        <v>21</v>
      </c>
      <c r="G5" s="8" t="s">
        <v>20</v>
      </c>
      <c r="H5" s="11">
        <v>4</v>
      </c>
      <c r="I5" s="16"/>
      <c r="J5" s="11">
        <v>78</v>
      </c>
      <c r="K5" s="11">
        <f>Julio!L5</f>
        <v>12</v>
      </c>
      <c r="L5" s="11">
        <f t="shared" si="0"/>
        <v>4</v>
      </c>
    </row>
    <row r="6" spans="2:13" s="1" customFormat="1" ht="27" customHeight="1" x14ac:dyDescent="0.25">
      <c r="B6" s="3" t="s">
        <v>7</v>
      </c>
      <c r="C6" s="3"/>
      <c r="D6" s="7">
        <v>3</v>
      </c>
      <c r="E6" s="11">
        <v>78</v>
      </c>
      <c r="F6" s="10" t="s">
        <v>22</v>
      </c>
      <c r="G6" s="8" t="s">
        <v>20</v>
      </c>
      <c r="H6" s="11">
        <f t="shared" ref="H6:H15" si="1">IF(K6&gt;0, (K6-E6), 0)</f>
        <v>0</v>
      </c>
      <c r="I6" s="16"/>
      <c r="J6" s="11">
        <v>78</v>
      </c>
      <c r="K6" s="11">
        <f>Julio!L6</f>
        <v>0</v>
      </c>
      <c r="L6" s="11">
        <f t="shared" si="0"/>
        <v>0</v>
      </c>
    </row>
    <row r="7" spans="2:13" s="1" customFormat="1" ht="27" customHeight="1" x14ac:dyDescent="0.25">
      <c r="B7" s="3" t="s">
        <v>8</v>
      </c>
      <c r="C7" s="3"/>
      <c r="D7" s="7">
        <v>4</v>
      </c>
      <c r="E7" s="11">
        <v>78</v>
      </c>
      <c r="F7" s="9" t="s">
        <v>21</v>
      </c>
      <c r="G7" s="8" t="s">
        <v>20</v>
      </c>
      <c r="H7" s="11">
        <v>445</v>
      </c>
      <c r="I7" s="16"/>
      <c r="J7" s="11">
        <v>78</v>
      </c>
      <c r="K7" s="11">
        <f>Julio!L7</f>
        <v>23</v>
      </c>
      <c r="L7" s="11">
        <f t="shared" si="0"/>
        <v>445</v>
      </c>
    </row>
    <row r="8" spans="2:13" s="1" customFormat="1" ht="27" customHeight="1" x14ac:dyDescent="0.25">
      <c r="B8" s="3" t="s">
        <v>9</v>
      </c>
      <c r="C8" s="3"/>
      <c r="D8" s="7">
        <v>5</v>
      </c>
      <c r="E8" s="11">
        <v>78</v>
      </c>
      <c r="F8" s="10" t="s">
        <v>22</v>
      </c>
      <c r="G8" s="8" t="s">
        <v>20</v>
      </c>
      <c r="H8" s="11">
        <f t="shared" si="1"/>
        <v>0</v>
      </c>
      <c r="I8" s="16"/>
      <c r="J8" s="11">
        <v>78</v>
      </c>
      <c r="K8" s="11">
        <f>Julio!L8</f>
        <v>0</v>
      </c>
      <c r="L8" s="11">
        <f t="shared" si="0"/>
        <v>0</v>
      </c>
    </row>
    <row r="9" spans="2:13" s="1" customFormat="1" ht="27" customHeight="1" x14ac:dyDescent="0.25">
      <c r="B9" s="3" t="s">
        <v>10</v>
      </c>
      <c r="C9" s="3"/>
      <c r="D9" s="7">
        <v>6</v>
      </c>
      <c r="E9" s="11">
        <v>78</v>
      </c>
      <c r="F9" s="10" t="s">
        <v>22</v>
      </c>
      <c r="G9" s="8" t="s">
        <v>20</v>
      </c>
      <c r="H9" s="11">
        <f t="shared" si="1"/>
        <v>0</v>
      </c>
      <c r="I9" s="16"/>
      <c r="J9" s="11">
        <v>78</v>
      </c>
      <c r="K9" s="11">
        <f>Julio!L9</f>
        <v>0</v>
      </c>
      <c r="L9" s="11">
        <f t="shared" si="0"/>
        <v>0</v>
      </c>
    </row>
    <row r="10" spans="2:13" s="1" customFormat="1" ht="27" customHeight="1" x14ac:dyDescent="0.25">
      <c r="B10" s="3" t="s">
        <v>23</v>
      </c>
      <c r="C10" s="3"/>
      <c r="D10" s="7">
        <v>7</v>
      </c>
      <c r="E10" s="11">
        <v>78</v>
      </c>
      <c r="F10" s="10" t="s">
        <v>22</v>
      </c>
      <c r="G10" s="8" t="s">
        <v>20</v>
      </c>
      <c r="H10" s="11">
        <v>41</v>
      </c>
      <c r="I10" s="16"/>
      <c r="J10" s="11">
        <v>78</v>
      </c>
      <c r="K10" s="11">
        <f>Julio!L10</f>
        <v>0</v>
      </c>
      <c r="L10" s="11">
        <f t="shared" si="0"/>
        <v>41</v>
      </c>
      <c r="M10" s="6"/>
    </row>
    <row r="11" spans="2:13" s="1" customFormat="1" ht="27" customHeight="1" x14ac:dyDescent="0.25">
      <c r="B11" s="3" t="s">
        <v>12</v>
      </c>
      <c r="C11" s="3"/>
      <c r="D11" s="7">
        <v>8</v>
      </c>
      <c r="E11" s="11">
        <v>78</v>
      </c>
      <c r="F11" s="10" t="s">
        <v>22</v>
      </c>
      <c r="G11" s="8" t="s">
        <v>20</v>
      </c>
      <c r="H11" s="11">
        <f t="shared" si="1"/>
        <v>0</v>
      </c>
      <c r="I11" s="16"/>
      <c r="J11" s="11">
        <v>78</v>
      </c>
      <c r="K11" s="11">
        <f>Julio!L11</f>
        <v>0</v>
      </c>
      <c r="L11" s="11">
        <f t="shared" si="0"/>
        <v>0</v>
      </c>
    </row>
    <row r="12" spans="2:13" s="1" customFormat="1" ht="27" customHeight="1" x14ac:dyDescent="0.25">
      <c r="B12" s="3" t="s">
        <v>13</v>
      </c>
      <c r="C12" s="3"/>
      <c r="D12" s="7">
        <v>9</v>
      </c>
      <c r="E12" s="11">
        <v>78</v>
      </c>
      <c r="F12" s="10" t="s">
        <v>22</v>
      </c>
      <c r="G12" s="8" t="s">
        <v>20</v>
      </c>
      <c r="H12" s="11">
        <f t="shared" si="1"/>
        <v>0</v>
      </c>
      <c r="I12" s="16"/>
      <c r="J12" s="11">
        <v>78</v>
      </c>
      <c r="K12" s="11">
        <f>Julio!L12</f>
        <v>0</v>
      </c>
      <c r="L12" s="11">
        <f t="shared" si="0"/>
        <v>0</v>
      </c>
    </row>
    <row r="13" spans="2:13" s="1" customFormat="1" ht="27" customHeight="1" x14ac:dyDescent="0.25">
      <c r="B13" s="3" t="s">
        <v>14</v>
      </c>
      <c r="C13" s="3"/>
      <c r="D13" s="7">
        <v>10</v>
      </c>
      <c r="E13" s="11">
        <v>78</v>
      </c>
      <c r="F13" s="10" t="s">
        <v>22</v>
      </c>
      <c r="G13" s="8" t="s">
        <v>20</v>
      </c>
      <c r="H13" s="11">
        <f t="shared" si="1"/>
        <v>0</v>
      </c>
      <c r="I13" s="16"/>
      <c r="J13" s="11">
        <v>78</v>
      </c>
      <c r="K13" s="11">
        <f>Julio!L13</f>
        <v>0</v>
      </c>
      <c r="L13" s="11">
        <f t="shared" si="0"/>
        <v>0</v>
      </c>
    </row>
    <row r="14" spans="2:13" s="1" customFormat="1" ht="27" customHeight="1" x14ac:dyDescent="0.25">
      <c r="B14" s="3" t="s">
        <v>11</v>
      </c>
      <c r="C14" s="3"/>
      <c r="D14" s="7">
        <v>11</v>
      </c>
      <c r="E14" s="11">
        <v>78</v>
      </c>
      <c r="F14" s="10" t="s">
        <v>22</v>
      </c>
      <c r="G14" s="8" t="s">
        <v>20</v>
      </c>
      <c r="H14" s="11">
        <f t="shared" si="1"/>
        <v>0</v>
      </c>
      <c r="I14" s="16"/>
      <c r="J14" s="11">
        <v>78</v>
      </c>
      <c r="K14" s="11">
        <f>Julio!L14</f>
        <v>0</v>
      </c>
      <c r="L14" s="11">
        <f t="shared" si="0"/>
        <v>0</v>
      </c>
    </row>
    <row r="15" spans="2:13" s="1" customFormat="1" ht="27" customHeight="1" x14ac:dyDescent="0.25">
      <c r="B15" s="3" t="s">
        <v>27</v>
      </c>
      <c r="C15" s="3"/>
      <c r="D15" s="7">
        <v>12</v>
      </c>
      <c r="E15" s="11">
        <v>78</v>
      </c>
      <c r="F15" s="10" t="s">
        <v>22</v>
      </c>
      <c r="G15" s="8" t="s">
        <v>20</v>
      </c>
      <c r="H15" s="11">
        <f t="shared" si="1"/>
        <v>0</v>
      </c>
      <c r="I15" s="16"/>
      <c r="J15" s="11">
        <v>78</v>
      </c>
      <c r="K15" s="11">
        <f>Julio!L15</f>
        <v>0</v>
      </c>
      <c r="L15" s="11">
        <f t="shared" si="0"/>
        <v>0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A998-E690-4D09-BF02-0E76D088A8C4}">
  <dimension ref="B2:M16"/>
  <sheetViews>
    <sheetView workbookViewId="0">
      <selection activeCell="F14" sqref="F14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8" width="10.7109375" style="2" customWidth="1"/>
    <col min="9" max="9" width="22.285156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3" ht="21" x14ac:dyDescent="0.25">
      <c r="D2" s="43" t="s">
        <v>28</v>
      </c>
      <c r="E2" s="43"/>
      <c r="F2" s="43"/>
      <c r="G2" s="43"/>
      <c r="H2" s="43"/>
      <c r="I2" s="4"/>
      <c r="K2" s="44" t="s">
        <v>24</v>
      </c>
      <c r="L2" s="45"/>
    </row>
    <row r="3" spans="2:13" ht="21" x14ac:dyDescent="0.25">
      <c r="D3" s="17"/>
      <c r="E3" s="17"/>
      <c r="F3" s="17"/>
      <c r="G3" s="17"/>
      <c r="H3" s="17"/>
      <c r="I3" s="4"/>
      <c r="K3" s="23"/>
      <c r="L3" s="24"/>
    </row>
    <row r="4" spans="2:13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11"/>
      <c r="K4" s="7" t="s">
        <v>25</v>
      </c>
      <c r="L4" s="7" t="s">
        <v>26</v>
      </c>
    </row>
    <row r="5" spans="2:13" s="1" customFormat="1" ht="27" customHeight="1" x14ac:dyDescent="0.25">
      <c r="B5" s="3" t="s">
        <v>4</v>
      </c>
      <c r="C5" s="3"/>
      <c r="D5" s="7">
        <v>1</v>
      </c>
      <c r="E5" s="11">
        <v>92</v>
      </c>
      <c r="F5" s="7" t="s">
        <v>19</v>
      </c>
      <c r="G5" s="8" t="s">
        <v>20</v>
      </c>
      <c r="H5" s="11">
        <f>IF(K5&gt;0, (K5-E5), 0)</f>
        <v>0</v>
      </c>
      <c r="I5" s="16"/>
      <c r="J5" s="11">
        <v>92</v>
      </c>
      <c r="K5" s="11">
        <f>Agosto!L4</f>
        <v>0</v>
      </c>
      <c r="L5" s="11">
        <f t="shared" ref="L5:L16" si="0">E5-J5+H5-IF(K5&lt;0, (K5*-1),0)</f>
        <v>0</v>
      </c>
    </row>
    <row r="6" spans="2:13" s="1" customFormat="1" ht="27" customHeight="1" x14ac:dyDescent="0.25">
      <c r="B6" s="3" t="s">
        <v>5</v>
      </c>
      <c r="C6" s="3"/>
      <c r="D6" s="7">
        <v>2</v>
      </c>
      <c r="E6" s="11">
        <v>92</v>
      </c>
      <c r="F6" s="9" t="s">
        <v>21</v>
      </c>
      <c r="G6" s="8" t="s">
        <v>20</v>
      </c>
      <c r="H6" s="11">
        <v>12</v>
      </c>
      <c r="I6" s="16"/>
      <c r="J6" s="11">
        <v>92</v>
      </c>
      <c r="K6" s="11">
        <f>Agosto!L5</f>
        <v>4</v>
      </c>
      <c r="L6" s="11">
        <f t="shared" si="0"/>
        <v>12</v>
      </c>
    </row>
    <row r="7" spans="2:13" s="1" customFormat="1" ht="27" customHeight="1" x14ac:dyDescent="0.25">
      <c r="B7" s="3" t="s">
        <v>7</v>
      </c>
      <c r="C7" s="3"/>
      <c r="D7" s="7">
        <v>3</v>
      </c>
      <c r="E7" s="11">
        <v>92</v>
      </c>
      <c r="F7" s="10" t="s">
        <v>22</v>
      </c>
      <c r="G7" s="8" t="s">
        <v>20</v>
      </c>
      <c r="H7" s="11">
        <f t="shared" ref="H7:H16" si="1">IF(K7&gt;0, (K7-E7), 0)</f>
        <v>0</v>
      </c>
      <c r="I7" s="16"/>
      <c r="J7" s="11">
        <v>92</v>
      </c>
      <c r="K7" s="11">
        <f>Agosto!L6</f>
        <v>0</v>
      </c>
      <c r="L7" s="11">
        <f t="shared" si="0"/>
        <v>0</v>
      </c>
    </row>
    <row r="8" spans="2:13" s="1" customFormat="1" ht="27" customHeight="1" x14ac:dyDescent="0.25">
      <c r="B8" s="3" t="s">
        <v>8</v>
      </c>
      <c r="C8" s="3"/>
      <c r="D8" s="7">
        <v>4</v>
      </c>
      <c r="E8" s="11">
        <v>92</v>
      </c>
      <c r="F8" s="9" t="s">
        <v>21</v>
      </c>
      <c r="G8" s="8" t="s">
        <v>20</v>
      </c>
      <c r="H8" s="11">
        <v>353</v>
      </c>
      <c r="I8" s="16"/>
      <c r="J8" s="11">
        <v>92</v>
      </c>
      <c r="K8" s="11">
        <f>Agosto!L7</f>
        <v>445</v>
      </c>
      <c r="L8" s="11">
        <f t="shared" si="0"/>
        <v>353</v>
      </c>
    </row>
    <row r="9" spans="2:13" s="1" customFormat="1" ht="27" customHeight="1" x14ac:dyDescent="0.25">
      <c r="B9" s="3" t="s">
        <v>9</v>
      </c>
      <c r="C9" s="3"/>
      <c r="D9" s="7">
        <v>5</v>
      </c>
      <c r="E9" s="11">
        <v>0</v>
      </c>
      <c r="F9" s="10"/>
      <c r="G9" s="8"/>
      <c r="H9" s="11">
        <f t="shared" si="1"/>
        <v>0</v>
      </c>
      <c r="I9" s="16"/>
      <c r="J9" s="11">
        <v>0</v>
      </c>
      <c r="K9" s="11">
        <f>Agosto!L8</f>
        <v>0</v>
      </c>
      <c r="L9" s="11">
        <f t="shared" si="0"/>
        <v>0</v>
      </c>
    </row>
    <row r="10" spans="2:13" s="1" customFormat="1" ht="27" customHeight="1" x14ac:dyDescent="0.25">
      <c r="B10" s="3" t="s">
        <v>10</v>
      </c>
      <c r="C10" s="3"/>
      <c r="D10" s="7">
        <v>6</v>
      </c>
      <c r="E10" s="11">
        <v>92</v>
      </c>
      <c r="F10" s="10" t="s">
        <v>22</v>
      </c>
      <c r="G10" s="8" t="s">
        <v>20</v>
      </c>
      <c r="H10" s="11">
        <f t="shared" si="1"/>
        <v>0</v>
      </c>
      <c r="I10" s="16"/>
      <c r="J10" s="11">
        <v>92</v>
      </c>
      <c r="K10" s="11">
        <f>Agosto!L9</f>
        <v>0</v>
      </c>
      <c r="L10" s="11">
        <f t="shared" si="0"/>
        <v>0</v>
      </c>
    </row>
    <row r="11" spans="2:13" s="1" customFormat="1" ht="27" customHeight="1" x14ac:dyDescent="0.25">
      <c r="B11" s="3" t="s">
        <v>23</v>
      </c>
      <c r="C11" s="3"/>
      <c r="D11" s="7">
        <v>7</v>
      </c>
      <c r="E11" s="11">
        <v>0</v>
      </c>
      <c r="F11" s="10"/>
      <c r="G11" s="8"/>
      <c r="H11" s="11">
        <v>41</v>
      </c>
      <c r="I11" s="16"/>
      <c r="J11" s="11">
        <v>92</v>
      </c>
      <c r="K11" s="11">
        <f>Agosto!L10</f>
        <v>41</v>
      </c>
      <c r="L11" s="11">
        <f t="shared" si="0"/>
        <v>-51</v>
      </c>
      <c r="M11" s="6"/>
    </row>
    <row r="12" spans="2:13" s="1" customFormat="1" ht="27" customHeight="1" x14ac:dyDescent="0.25">
      <c r="B12" s="3" t="s">
        <v>12</v>
      </c>
      <c r="C12" s="3"/>
      <c r="D12" s="7">
        <v>8</v>
      </c>
      <c r="E12" s="11">
        <v>92</v>
      </c>
      <c r="F12" s="10" t="s">
        <v>22</v>
      </c>
      <c r="G12" s="8" t="s">
        <v>20</v>
      </c>
      <c r="H12" s="11">
        <f t="shared" si="1"/>
        <v>0</v>
      </c>
      <c r="I12" s="16"/>
      <c r="J12" s="11">
        <v>92</v>
      </c>
      <c r="K12" s="11">
        <f>Agosto!L11</f>
        <v>0</v>
      </c>
      <c r="L12" s="11">
        <f t="shared" si="0"/>
        <v>0</v>
      </c>
    </row>
    <row r="13" spans="2:13" s="1" customFormat="1" ht="27" customHeight="1" x14ac:dyDescent="0.25">
      <c r="B13" s="3" t="s">
        <v>13</v>
      </c>
      <c r="C13" s="3"/>
      <c r="D13" s="7">
        <v>9</v>
      </c>
      <c r="E13" s="11">
        <v>92</v>
      </c>
      <c r="F13" s="10" t="s">
        <v>22</v>
      </c>
      <c r="G13" s="8" t="s">
        <v>20</v>
      </c>
      <c r="H13" s="11">
        <f t="shared" si="1"/>
        <v>0</v>
      </c>
      <c r="I13" s="16"/>
      <c r="J13" s="11">
        <v>92</v>
      </c>
      <c r="K13" s="11">
        <f>Agosto!L12</f>
        <v>0</v>
      </c>
      <c r="L13" s="11">
        <f t="shared" si="0"/>
        <v>0</v>
      </c>
    </row>
    <row r="14" spans="2:13" s="1" customFormat="1" ht="27" customHeight="1" x14ac:dyDescent="0.25">
      <c r="B14" s="3" t="s">
        <v>14</v>
      </c>
      <c r="C14" s="3"/>
      <c r="D14" s="7">
        <v>10</v>
      </c>
      <c r="E14" s="11">
        <v>92</v>
      </c>
      <c r="F14" s="10" t="s">
        <v>22</v>
      </c>
      <c r="G14" s="8" t="s">
        <v>20</v>
      </c>
      <c r="H14" s="11">
        <f t="shared" si="1"/>
        <v>0</v>
      </c>
      <c r="I14" s="16"/>
      <c r="J14" s="11">
        <v>92</v>
      </c>
      <c r="K14" s="11">
        <f>Agosto!L13</f>
        <v>0</v>
      </c>
      <c r="L14" s="11">
        <f t="shared" si="0"/>
        <v>0</v>
      </c>
    </row>
    <row r="15" spans="2:13" s="1" customFormat="1" ht="27" customHeight="1" x14ac:dyDescent="0.25">
      <c r="B15" s="3" t="s">
        <v>11</v>
      </c>
      <c r="C15" s="3"/>
      <c r="D15" s="7">
        <v>11</v>
      </c>
      <c r="E15" s="11">
        <v>92</v>
      </c>
      <c r="F15" s="10" t="s">
        <v>22</v>
      </c>
      <c r="G15" s="8" t="s">
        <v>20</v>
      </c>
      <c r="H15" s="11">
        <f t="shared" si="1"/>
        <v>0</v>
      </c>
      <c r="I15" s="16"/>
      <c r="J15" s="11">
        <v>92</v>
      </c>
      <c r="K15" s="11">
        <f>Agosto!L14</f>
        <v>0</v>
      </c>
      <c r="L15" s="11">
        <f t="shared" si="0"/>
        <v>0</v>
      </c>
    </row>
    <row r="16" spans="2:13" s="1" customFormat="1" ht="27" customHeight="1" x14ac:dyDescent="0.25">
      <c r="B16" s="3" t="s">
        <v>27</v>
      </c>
      <c r="C16" s="3"/>
      <c r="D16" s="7">
        <v>12</v>
      </c>
      <c r="E16" s="11">
        <v>92</v>
      </c>
      <c r="F16" s="10" t="s">
        <v>22</v>
      </c>
      <c r="G16" s="8" t="s">
        <v>20</v>
      </c>
      <c r="H16" s="11">
        <f t="shared" si="1"/>
        <v>0</v>
      </c>
      <c r="I16" s="16"/>
      <c r="J16" s="11">
        <v>92</v>
      </c>
      <c r="K16" s="11">
        <f>Agosto!L15</f>
        <v>0</v>
      </c>
      <c r="L16" s="11">
        <f t="shared" si="0"/>
        <v>0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FC66-3923-4EFE-A87E-5D249F1B9EF6}">
  <dimension ref="B2:M16"/>
  <sheetViews>
    <sheetView workbookViewId="0">
      <selection activeCell="I9" sqref="I9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8" width="10.7109375" style="2" customWidth="1"/>
    <col min="9" max="9" width="22.285156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3" ht="21" x14ac:dyDescent="0.25">
      <c r="D2" s="43" t="s">
        <v>29</v>
      </c>
      <c r="E2" s="43"/>
      <c r="F2" s="43"/>
      <c r="G2" s="43"/>
      <c r="H2" s="43"/>
      <c r="I2" s="4"/>
      <c r="K2" s="44" t="s">
        <v>24</v>
      </c>
      <c r="L2" s="45"/>
    </row>
    <row r="3" spans="2:13" ht="21" x14ac:dyDescent="0.25">
      <c r="D3" s="17"/>
      <c r="E3" s="17"/>
      <c r="F3" s="17"/>
      <c r="G3" s="17"/>
      <c r="H3" s="17"/>
      <c r="I3" s="4"/>
      <c r="K3" s="23"/>
      <c r="L3" s="24"/>
    </row>
    <row r="4" spans="2:13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11"/>
      <c r="K4" s="7" t="s">
        <v>25</v>
      </c>
      <c r="L4" s="7" t="s">
        <v>26</v>
      </c>
    </row>
    <row r="5" spans="2:13" s="1" customFormat="1" ht="27" customHeight="1" x14ac:dyDescent="0.25">
      <c r="B5" s="3" t="s">
        <v>4</v>
      </c>
      <c r="C5" s="3"/>
      <c r="D5" s="7">
        <v>1</v>
      </c>
      <c r="E5" s="11">
        <v>86</v>
      </c>
      <c r="F5" s="7" t="s">
        <v>19</v>
      </c>
      <c r="G5" s="8" t="s">
        <v>20</v>
      </c>
      <c r="H5" s="11">
        <f>IF(K5&gt;0, (K5-E5), 0)</f>
        <v>0</v>
      </c>
      <c r="I5" s="16"/>
      <c r="J5" s="11">
        <v>86</v>
      </c>
      <c r="K5" s="11">
        <f>Septiembre!L5</f>
        <v>0</v>
      </c>
      <c r="L5" s="11">
        <f>E5-J5+H5-IF(K5&lt;0, (K5*-1),0)</f>
        <v>0</v>
      </c>
    </row>
    <row r="6" spans="2:13" s="1" customFormat="1" ht="27" customHeight="1" x14ac:dyDescent="0.25">
      <c r="B6" s="3" t="s">
        <v>5</v>
      </c>
      <c r="C6" s="3"/>
      <c r="D6" s="7">
        <v>2</v>
      </c>
      <c r="E6" s="11">
        <v>86</v>
      </c>
      <c r="F6" s="9" t="s">
        <v>21</v>
      </c>
      <c r="G6" s="8" t="s">
        <v>20</v>
      </c>
      <c r="H6" s="11">
        <v>0</v>
      </c>
      <c r="I6" s="16"/>
      <c r="J6" s="11">
        <v>86</v>
      </c>
      <c r="K6" s="11">
        <f>Septiembre!L6</f>
        <v>12</v>
      </c>
      <c r="L6" s="11">
        <f>E6-J6+H6-IF(K6&lt;0, (K6*-1),0)</f>
        <v>0</v>
      </c>
    </row>
    <row r="7" spans="2:13" s="1" customFormat="1" ht="27" customHeight="1" x14ac:dyDescent="0.25">
      <c r="B7" s="3" t="s">
        <v>7</v>
      </c>
      <c r="C7" s="3"/>
      <c r="D7" s="7">
        <v>3</v>
      </c>
      <c r="E7" s="11">
        <v>86</v>
      </c>
      <c r="F7" s="10" t="s">
        <v>22</v>
      </c>
      <c r="G7" s="8" t="s">
        <v>20</v>
      </c>
      <c r="H7" s="11">
        <f>IF(K7&gt;0, (K7-E7), 0)</f>
        <v>0</v>
      </c>
      <c r="I7" s="16"/>
      <c r="J7" s="11">
        <v>86</v>
      </c>
      <c r="K7" s="11">
        <f>Septiembre!L7</f>
        <v>0</v>
      </c>
      <c r="L7" s="11">
        <f>E7-J7+H7-IF(K7&lt;0, (K7*-1),0)</f>
        <v>0</v>
      </c>
    </row>
    <row r="8" spans="2:13" s="1" customFormat="1" ht="27" customHeight="1" x14ac:dyDescent="0.25">
      <c r="B8" s="3" t="s">
        <v>8</v>
      </c>
      <c r="C8" s="3"/>
      <c r="D8" s="7">
        <v>4</v>
      </c>
      <c r="E8" s="11">
        <v>86</v>
      </c>
      <c r="F8" s="9" t="s">
        <v>21</v>
      </c>
      <c r="G8" s="8" t="s">
        <v>20</v>
      </c>
      <c r="H8" s="11">
        <v>267</v>
      </c>
      <c r="I8" s="16"/>
      <c r="J8" s="11">
        <v>86</v>
      </c>
      <c r="K8" s="11">
        <f>Septiembre!L8</f>
        <v>353</v>
      </c>
      <c r="L8" s="11">
        <f>E8-J8+H8-IF(K8&lt;0, (K8*-1),0)</f>
        <v>267</v>
      </c>
    </row>
    <row r="9" spans="2:13" s="1" customFormat="1" ht="27" customHeight="1" x14ac:dyDescent="0.25">
      <c r="B9" s="3" t="s">
        <v>9</v>
      </c>
      <c r="C9" s="3"/>
      <c r="D9" s="7">
        <v>5</v>
      </c>
      <c r="E9" s="11" t="s">
        <v>30</v>
      </c>
      <c r="F9" s="10"/>
      <c r="G9" s="8"/>
      <c r="H9" s="11">
        <f>IF(K9&gt;0, (K9-E9), 0)</f>
        <v>0</v>
      </c>
      <c r="I9" s="16"/>
      <c r="J9" s="11">
        <v>0</v>
      </c>
      <c r="K9" s="11">
        <f>Septiembre!L9</f>
        <v>0</v>
      </c>
      <c r="L9" s="11">
        <v>0</v>
      </c>
    </row>
    <row r="10" spans="2:13" s="1" customFormat="1" ht="27" customHeight="1" x14ac:dyDescent="0.25">
      <c r="B10" s="3" t="s">
        <v>31</v>
      </c>
      <c r="C10" s="3"/>
      <c r="D10" s="7">
        <v>6</v>
      </c>
      <c r="E10" s="11">
        <v>86</v>
      </c>
      <c r="F10" s="10" t="s">
        <v>22</v>
      </c>
      <c r="G10" s="8" t="s">
        <v>20</v>
      </c>
      <c r="H10" s="11">
        <f>IF(K10&gt;0, (K10-E10), 0)</f>
        <v>0</v>
      </c>
      <c r="I10" s="16"/>
      <c r="J10" s="11">
        <v>86</v>
      </c>
      <c r="K10" s="11">
        <f>Septiembre!L10</f>
        <v>0</v>
      </c>
      <c r="L10" s="11">
        <f>E10-J10+H10-IF(K10&lt;0, (K10*-1),0)</f>
        <v>0</v>
      </c>
    </row>
    <row r="11" spans="2:13" s="1" customFormat="1" ht="27" customHeight="1" x14ac:dyDescent="0.25">
      <c r="B11" s="3" t="s">
        <v>23</v>
      </c>
      <c r="C11" s="3"/>
      <c r="D11" s="7">
        <v>7</v>
      </c>
      <c r="E11" s="11">
        <v>137</v>
      </c>
      <c r="F11" s="9" t="s">
        <v>21</v>
      </c>
      <c r="G11" s="8" t="s">
        <v>20</v>
      </c>
      <c r="H11" s="11">
        <v>67</v>
      </c>
      <c r="I11" s="16"/>
      <c r="J11" s="11">
        <v>137</v>
      </c>
      <c r="K11" s="11">
        <v>0</v>
      </c>
      <c r="L11" s="11">
        <v>86</v>
      </c>
      <c r="M11" s="6"/>
    </row>
    <row r="12" spans="2:13" s="1" customFormat="1" ht="27" customHeight="1" x14ac:dyDescent="0.25">
      <c r="B12" s="3" t="s">
        <v>12</v>
      </c>
      <c r="C12" s="3"/>
      <c r="D12" s="7">
        <v>8</v>
      </c>
      <c r="E12" s="11">
        <v>86</v>
      </c>
      <c r="F12" s="10" t="s">
        <v>22</v>
      </c>
      <c r="G12" s="8" t="s">
        <v>20</v>
      </c>
      <c r="H12" s="11">
        <f>IF(K12&gt;0, (K12-E12), 0)</f>
        <v>0</v>
      </c>
      <c r="I12" s="16"/>
      <c r="J12" s="11">
        <v>86</v>
      </c>
      <c r="K12" s="11">
        <f>Septiembre!L12</f>
        <v>0</v>
      </c>
      <c r="L12" s="11">
        <f>E12-J12+H12-IF(K12&lt;0, (K12*-1),0)</f>
        <v>0</v>
      </c>
    </row>
    <row r="13" spans="2:13" s="1" customFormat="1" ht="27" customHeight="1" x14ac:dyDescent="0.25">
      <c r="B13" s="3" t="s">
        <v>13</v>
      </c>
      <c r="C13" s="3"/>
      <c r="D13" s="7">
        <v>9</v>
      </c>
      <c r="E13" s="11">
        <v>86</v>
      </c>
      <c r="F13" s="10" t="s">
        <v>22</v>
      </c>
      <c r="G13" s="8" t="s">
        <v>20</v>
      </c>
      <c r="H13" s="11">
        <f>IF(K13&gt;0, (K13-E13), 0)</f>
        <v>0</v>
      </c>
      <c r="I13" s="16"/>
      <c r="J13" s="11">
        <v>86</v>
      </c>
      <c r="K13" s="11">
        <f>Septiembre!L13</f>
        <v>0</v>
      </c>
      <c r="L13" s="11">
        <f>E13-J13+H13-IF(K13&lt;0, (K13*-1),0)</f>
        <v>0</v>
      </c>
    </row>
    <row r="14" spans="2:13" s="1" customFormat="1" ht="27" customHeight="1" x14ac:dyDescent="0.25">
      <c r="B14" s="3" t="s">
        <v>14</v>
      </c>
      <c r="C14" s="3"/>
      <c r="D14" s="7">
        <v>10</v>
      </c>
      <c r="E14" s="11">
        <v>86</v>
      </c>
      <c r="F14" s="10" t="s">
        <v>22</v>
      </c>
      <c r="G14" s="8" t="s">
        <v>20</v>
      </c>
      <c r="H14" s="11">
        <f>IF(K14&gt;0, (K14-E14), 0)</f>
        <v>0</v>
      </c>
      <c r="I14" s="16"/>
      <c r="J14" s="11">
        <v>86</v>
      </c>
      <c r="K14" s="11">
        <f>Septiembre!L14</f>
        <v>0</v>
      </c>
      <c r="L14" s="11">
        <f>E14-J14+H14-IF(K14&lt;0, (K14*-1),0)</f>
        <v>0</v>
      </c>
    </row>
    <row r="15" spans="2:13" s="1" customFormat="1" ht="27" customHeight="1" x14ac:dyDescent="0.25">
      <c r="B15" s="3" t="s">
        <v>11</v>
      </c>
      <c r="C15" s="3"/>
      <c r="D15" s="7">
        <v>11</v>
      </c>
      <c r="E15" s="11">
        <v>86</v>
      </c>
      <c r="F15" s="10" t="s">
        <v>22</v>
      </c>
      <c r="G15" s="8" t="s">
        <v>20</v>
      </c>
      <c r="H15" s="11">
        <f>IF(K15&gt;0, (K15-E15), 0)</f>
        <v>0</v>
      </c>
      <c r="I15" s="16"/>
      <c r="J15" s="11">
        <v>86</v>
      </c>
      <c r="K15" s="11">
        <f>Septiembre!L15</f>
        <v>0</v>
      </c>
      <c r="L15" s="11">
        <f>E15-J15+H15-IF(K15&lt;0, (K15*-1),0)</f>
        <v>0</v>
      </c>
    </row>
    <row r="16" spans="2:13" s="1" customFormat="1" ht="27" customHeight="1" x14ac:dyDescent="0.25">
      <c r="B16" s="3" t="s">
        <v>27</v>
      </c>
      <c r="C16" s="3"/>
      <c r="D16" s="7">
        <v>12</v>
      </c>
      <c r="E16" s="11">
        <v>86</v>
      </c>
      <c r="F16" s="10" t="s">
        <v>22</v>
      </c>
      <c r="G16" s="8" t="s">
        <v>20</v>
      </c>
      <c r="H16" s="11">
        <f>IF(K16&gt;0, (K16-E16), 0)</f>
        <v>0</v>
      </c>
      <c r="I16" s="16"/>
      <c r="J16" s="11">
        <v>86</v>
      </c>
      <c r="K16" s="11">
        <f>Septiembre!L16</f>
        <v>0</v>
      </c>
      <c r="L16" s="11">
        <f>E16-J16+H16-IF(K16&lt;0, (K16*-1),0)</f>
        <v>0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2F15-EDD7-4F00-B8FA-458F0B72562B}">
  <dimension ref="B2:N16"/>
  <sheetViews>
    <sheetView workbookViewId="0">
      <selection activeCell="F5" sqref="F5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4" ht="36.75" customHeight="1" x14ac:dyDescent="0.25">
      <c r="D2" s="43" t="s">
        <v>32</v>
      </c>
      <c r="E2" s="43"/>
      <c r="F2" s="43"/>
      <c r="G2" s="43"/>
      <c r="H2" s="43"/>
      <c r="I2" s="25"/>
      <c r="K2" s="44" t="s">
        <v>24</v>
      </c>
      <c r="L2" s="45"/>
    </row>
    <row r="3" spans="2:14" ht="21" x14ac:dyDescent="0.25">
      <c r="D3" s="17"/>
      <c r="E3" s="17"/>
      <c r="F3" s="17"/>
      <c r="G3" s="17"/>
      <c r="H3" s="4"/>
      <c r="I3" s="4"/>
      <c r="K3" s="23"/>
      <c r="L3" s="24"/>
    </row>
    <row r="4" spans="2:14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/>
      <c r="L4" s="7" t="s">
        <v>25</v>
      </c>
      <c r="M4" s="7" t="s">
        <v>26</v>
      </c>
    </row>
    <row r="5" spans="2:14" s="1" customFormat="1" ht="27" customHeight="1" x14ac:dyDescent="0.25">
      <c r="B5" s="3" t="s">
        <v>4</v>
      </c>
      <c r="C5" s="3"/>
      <c r="D5" s="7">
        <v>1</v>
      </c>
      <c r="E5" s="11">
        <v>150</v>
      </c>
      <c r="F5" s="7" t="s">
        <v>19</v>
      </c>
      <c r="G5" s="8" t="s">
        <v>20</v>
      </c>
      <c r="H5" s="11">
        <v>0</v>
      </c>
      <c r="I5" s="16"/>
      <c r="J5" s="16"/>
      <c r="K5" s="11">
        <v>150</v>
      </c>
      <c r="L5" s="11"/>
      <c r="M5" s="11"/>
    </row>
    <row r="6" spans="2:14" s="1" customFormat="1" ht="27" customHeight="1" x14ac:dyDescent="0.25">
      <c r="B6" s="3" t="s">
        <v>5</v>
      </c>
      <c r="C6" s="3"/>
      <c r="D6" s="7">
        <v>2</v>
      </c>
      <c r="E6" s="11">
        <v>150</v>
      </c>
      <c r="F6" s="10" t="s">
        <v>22</v>
      </c>
      <c r="G6" s="8" t="s">
        <v>20</v>
      </c>
      <c r="H6" s="11">
        <v>0</v>
      </c>
      <c r="I6" s="16"/>
      <c r="J6" s="16"/>
      <c r="K6" s="11">
        <v>150</v>
      </c>
      <c r="L6" s="11"/>
      <c r="M6" s="11"/>
    </row>
    <row r="7" spans="2:14" s="1" customFormat="1" ht="27" customHeight="1" x14ac:dyDescent="0.25">
      <c r="B7" s="3" t="s">
        <v>7</v>
      </c>
      <c r="C7" s="3"/>
      <c r="D7" s="7">
        <v>3</v>
      </c>
      <c r="E7" s="11">
        <v>150</v>
      </c>
      <c r="F7" s="10" t="s">
        <v>22</v>
      </c>
      <c r="G7" s="8" t="s">
        <v>20</v>
      </c>
      <c r="H7" s="11">
        <v>0</v>
      </c>
      <c r="I7" s="16"/>
      <c r="J7" s="16"/>
      <c r="K7" s="11">
        <v>150</v>
      </c>
      <c r="L7" s="11"/>
      <c r="M7" s="11"/>
    </row>
    <row r="8" spans="2:14" s="1" customFormat="1" ht="27" customHeight="1" x14ac:dyDescent="0.25">
      <c r="B8" s="3" t="s">
        <v>8</v>
      </c>
      <c r="C8" s="3"/>
      <c r="D8" s="7">
        <v>4</v>
      </c>
      <c r="E8" s="11">
        <v>150</v>
      </c>
      <c r="F8" s="9" t="s">
        <v>21</v>
      </c>
      <c r="G8" s="8" t="s">
        <v>20</v>
      </c>
      <c r="H8" s="11">
        <v>317</v>
      </c>
      <c r="I8" s="16"/>
      <c r="J8" s="16"/>
      <c r="K8" s="11">
        <v>150</v>
      </c>
      <c r="L8" s="11"/>
      <c r="M8" s="11"/>
    </row>
    <row r="9" spans="2:14" s="1" customFormat="1" ht="27" customHeight="1" x14ac:dyDescent="0.25">
      <c r="B9" s="3" t="s">
        <v>9</v>
      </c>
      <c r="C9" s="3"/>
      <c r="D9" s="7">
        <v>5</v>
      </c>
      <c r="E9" s="11">
        <v>150</v>
      </c>
      <c r="F9" s="10" t="s">
        <v>22</v>
      </c>
      <c r="G9" s="8" t="s">
        <v>20</v>
      </c>
      <c r="H9" s="11">
        <v>0</v>
      </c>
      <c r="I9" s="16"/>
      <c r="J9" s="16"/>
      <c r="K9" s="11">
        <v>150</v>
      </c>
      <c r="L9" s="11"/>
      <c r="M9" s="11"/>
    </row>
    <row r="10" spans="2:14" s="1" customFormat="1" ht="27" customHeight="1" x14ac:dyDescent="0.25">
      <c r="B10" s="3" t="s">
        <v>31</v>
      </c>
      <c r="C10" s="3"/>
      <c r="D10" s="7">
        <v>6</v>
      </c>
      <c r="E10" s="11">
        <v>150</v>
      </c>
      <c r="F10" s="10" t="s">
        <v>22</v>
      </c>
      <c r="G10" s="8" t="s">
        <v>20</v>
      </c>
      <c r="H10" s="11">
        <v>0</v>
      </c>
      <c r="I10" s="16"/>
      <c r="J10" s="16"/>
      <c r="K10" s="11">
        <v>150</v>
      </c>
      <c r="L10" s="11"/>
      <c r="M10" s="11"/>
    </row>
    <row r="11" spans="2:14" s="1" customFormat="1" ht="27" customHeight="1" x14ac:dyDescent="0.25">
      <c r="B11" s="3" t="s">
        <v>23</v>
      </c>
      <c r="C11" s="3"/>
      <c r="D11" s="7">
        <v>7</v>
      </c>
      <c r="E11" s="11">
        <v>150</v>
      </c>
      <c r="F11" s="9" t="s">
        <v>21</v>
      </c>
      <c r="G11" s="8" t="s">
        <v>20</v>
      </c>
      <c r="H11" s="11">
        <v>107</v>
      </c>
      <c r="I11" s="16"/>
      <c r="J11" s="16"/>
      <c r="K11" s="11">
        <v>150</v>
      </c>
      <c r="L11" s="11"/>
      <c r="M11" s="11"/>
      <c r="N11" s="6"/>
    </row>
    <row r="12" spans="2:14" s="1" customFormat="1" ht="27" customHeight="1" x14ac:dyDescent="0.25">
      <c r="B12" s="3" t="s">
        <v>12</v>
      </c>
      <c r="C12" s="3"/>
      <c r="D12" s="7">
        <v>8</v>
      </c>
      <c r="E12" s="11">
        <v>150</v>
      </c>
      <c r="F12" s="10" t="s">
        <v>22</v>
      </c>
      <c r="G12" s="8" t="s">
        <v>20</v>
      </c>
      <c r="H12" s="11">
        <v>0</v>
      </c>
      <c r="I12" s="16"/>
      <c r="J12" s="16"/>
      <c r="K12" s="11">
        <v>150</v>
      </c>
      <c r="L12" s="11"/>
      <c r="M12" s="11"/>
    </row>
    <row r="13" spans="2:14" s="1" customFormat="1" ht="27" customHeight="1" x14ac:dyDescent="0.25">
      <c r="B13" s="3" t="s">
        <v>13</v>
      </c>
      <c r="C13" s="3"/>
      <c r="D13" s="7">
        <v>9</v>
      </c>
      <c r="E13" s="11">
        <v>150</v>
      </c>
      <c r="F13" s="10" t="s">
        <v>22</v>
      </c>
      <c r="G13" s="8" t="s">
        <v>20</v>
      </c>
      <c r="H13" s="11">
        <v>0</v>
      </c>
      <c r="I13" s="16"/>
      <c r="J13" s="16"/>
      <c r="K13" s="11">
        <v>150</v>
      </c>
      <c r="L13" s="11"/>
      <c r="M13" s="11"/>
    </row>
    <row r="14" spans="2:14" s="1" customFormat="1" ht="27" customHeight="1" x14ac:dyDescent="0.25">
      <c r="B14" s="3" t="s">
        <v>14</v>
      </c>
      <c r="C14" s="3"/>
      <c r="D14" s="7">
        <v>10</v>
      </c>
      <c r="E14" s="11">
        <v>150</v>
      </c>
      <c r="F14" s="10" t="s">
        <v>22</v>
      </c>
      <c r="G14" s="8" t="s">
        <v>20</v>
      </c>
      <c r="H14" s="11">
        <v>0</v>
      </c>
      <c r="I14" s="16"/>
      <c r="J14" s="16"/>
      <c r="K14" s="11">
        <v>150</v>
      </c>
      <c r="L14" s="11"/>
      <c r="M14" s="11"/>
    </row>
    <row r="15" spans="2:14" s="1" customFormat="1" ht="27" customHeight="1" x14ac:dyDescent="0.25">
      <c r="B15" s="3" t="s">
        <v>11</v>
      </c>
      <c r="C15" s="3"/>
      <c r="D15" s="7">
        <v>11</v>
      </c>
      <c r="E15" s="11">
        <v>150</v>
      </c>
      <c r="F15" s="10" t="s">
        <v>22</v>
      </c>
      <c r="G15" s="8" t="s">
        <v>20</v>
      </c>
      <c r="H15" s="11">
        <v>0</v>
      </c>
      <c r="I15" s="16"/>
      <c r="J15" s="16"/>
      <c r="K15" s="11">
        <v>150</v>
      </c>
      <c r="L15" s="11"/>
      <c r="M15" s="11"/>
    </row>
    <row r="16" spans="2:14" s="1" customFormat="1" ht="27" customHeight="1" x14ac:dyDescent="0.25">
      <c r="B16" s="3" t="s">
        <v>27</v>
      </c>
      <c r="C16" s="3"/>
      <c r="D16" s="7">
        <v>12</v>
      </c>
      <c r="E16" s="11">
        <v>150</v>
      </c>
      <c r="F16" s="10" t="s">
        <v>22</v>
      </c>
      <c r="G16" s="8" t="s">
        <v>20</v>
      </c>
      <c r="H16" s="11">
        <v>0</v>
      </c>
      <c r="I16" s="16"/>
      <c r="J16" s="16"/>
      <c r="K16" s="11">
        <v>150</v>
      </c>
      <c r="L16" s="11"/>
      <c r="M16" s="11"/>
    </row>
  </sheetData>
  <mergeCells count="2">
    <mergeCell ref="K2:L2"/>
    <mergeCell ref="D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A63F-2C98-442D-8995-D7B5F55D43D1}">
  <dimension ref="B2:U16"/>
  <sheetViews>
    <sheetView workbookViewId="0">
      <selection activeCell="G14" sqref="G14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21" ht="36.75" customHeight="1" x14ac:dyDescent="0.25">
      <c r="D2" s="43" t="s">
        <v>33</v>
      </c>
      <c r="E2" s="43"/>
      <c r="F2" s="43"/>
      <c r="G2" s="43"/>
      <c r="H2" s="43"/>
      <c r="I2" s="25"/>
      <c r="K2" s="44" t="s">
        <v>24</v>
      </c>
      <c r="L2" s="45"/>
    </row>
    <row r="3" spans="2:21" ht="21" x14ac:dyDescent="0.25">
      <c r="D3" s="17"/>
      <c r="E3" s="17"/>
      <c r="F3" s="17"/>
      <c r="G3" s="17"/>
      <c r="H3" s="4"/>
      <c r="I3" s="4"/>
      <c r="K3" s="23"/>
      <c r="L3" s="24"/>
    </row>
    <row r="4" spans="2:21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/>
      <c r="L4" s="7" t="s">
        <v>25</v>
      </c>
      <c r="M4" s="7" t="s">
        <v>26</v>
      </c>
    </row>
    <row r="5" spans="2:21" s="1" customFormat="1" ht="27" customHeight="1" x14ac:dyDescent="0.25">
      <c r="B5" s="3" t="s">
        <v>4</v>
      </c>
      <c r="C5" s="3"/>
      <c r="D5" s="7">
        <v>1</v>
      </c>
      <c r="E5" s="11">
        <v>810</v>
      </c>
      <c r="F5" s="7" t="s">
        <v>19</v>
      </c>
      <c r="G5" s="8" t="s">
        <v>20</v>
      </c>
      <c r="H5" s="11">
        <v>0</v>
      </c>
      <c r="I5" s="16"/>
      <c r="J5" s="16"/>
      <c r="K5" s="11">
        <v>810</v>
      </c>
      <c r="L5" s="11"/>
      <c r="M5" s="11"/>
    </row>
    <row r="6" spans="2:21" s="1" customFormat="1" ht="27" customHeight="1" x14ac:dyDescent="0.25">
      <c r="B6" s="3" t="s">
        <v>5</v>
      </c>
      <c r="C6" s="3"/>
      <c r="D6" s="7">
        <v>2</v>
      </c>
      <c r="E6" s="11">
        <v>810</v>
      </c>
      <c r="F6" s="10" t="s">
        <v>22</v>
      </c>
      <c r="G6" s="8" t="s">
        <v>20</v>
      </c>
      <c r="H6" s="11">
        <v>0</v>
      </c>
      <c r="I6" s="16"/>
      <c r="J6" s="16"/>
      <c r="K6" s="11">
        <v>810</v>
      </c>
      <c r="L6" s="11"/>
      <c r="M6" s="11"/>
    </row>
    <row r="7" spans="2:21" s="1" customFormat="1" ht="27" customHeight="1" x14ac:dyDescent="0.25">
      <c r="B7" s="3" t="s">
        <v>7</v>
      </c>
      <c r="C7" s="3"/>
      <c r="D7" s="7">
        <v>3</v>
      </c>
      <c r="E7" s="11">
        <v>810</v>
      </c>
      <c r="F7" s="10" t="s">
        <v>22</v>
      </c>
      <c r="G7" s="8" t="s">
        <v>20</v>
      </c>
      <c r="H7" s="11">
        <v>0</v>
      </c>
      <c r="I7" s="16"/>
      <c r="J7" s="16"/>
      <c r="K7" s="11">
        <v>810</v>
      </c>
      <c r="L7" s="11"/>
      <c r="M7" s="11"/>
    </row>
    <row r="8" spans="2:21" s="1" customFormat="1" ht="27" customHeight="1" x14ac:dyDescent="0.25">
      <c r="B8" s="3" t="s">
        <v>8</v>
      </c>
      <c r="C8" s="3"/>
      <c r="D8" s="7">
        <v>4</v>
      </c>
      <c r="E8" s="11">
        <v>810</v>
      </c>
      <c r="F8" s="9" t="s">
        <v>21</v>
      </c>
      <c r="G8" s="8" t="s">
        <v>20</v>
      </c>
      <c r="H8" s="11">
        <v>507</v>
      </c>
      <c r="I8" s="16"/>
      <c r="J8" s="16"/>
      <c r="K8" s="11">
        <v>810</v>
      </c>
      <c r="L8" s="11"/>
      <c r="M8" s="11"/>
    </row>
    <row r="9" spans="2:21" s="1" customFormat="1" ht="27" customHeight="1" x14ac:dyDescent="0.25">
      <c r="B9" s="3" t="s">
        <v>9</v>
      </c>
      <c r="C9" s="3"/>
      <c r="D9" s="7">
        <v>5</v>
      </c>
      <c r="E9" s="11">
        <v>810</v>
      </c>
      <c r="F9" s="10" t="s">
        <v>22</v>
      </c>
      <c r="G9" s="8" t="s">
        <v>20</v>
      </c>
      <c r="H9" s="11">
        <v>0</v>
      </c>
      <c r="I9" s="16"/>
      <c r="J9" s="16"/>
      <c r="K9" s="11">
        <v>810</v>
      </c>
      <c r="L9" s="11"/>
      <c r="M9" s="11"/>
    </row>
    <row r="10" spans="2:21" s="1" customFormat="1" ht="27" customHeight="1" x14ac:dyDescent="0.25">
      <c r="B10" s="3" t="s">
        <v>31</v>
      </c>
      <c r="C10" s="3"/>
      <c r="D10" s="7">
        <v>6</v>
      </c>
      <c r="E10" s="11">
        <v>810</v>
      </c>
      <c r="F10" s="10" t="s">
        <v>22</v>
      </c>
      <c r="G10" s="8" t="s">
        <v>20</v>
      </c>
      <c r="H10" s="11">
        <v>0</v>
      </c>
      <c r="I10" s="16"/>
      <c r="J10" s="16"/>
      <c r="K10" s="11">
        <v>810</v>
      </c>
      <c r="L10" s="11"/>
      <c r="M10" s="11"/>
    </row>
    <row r="11" spans="2:21" s="1" customFormat="1" ht="27" customHeight="1" x14ac:dyDescent="0.25">
      <c r="B11" s="3" t="s">
        <v>23</v>
      </c>
      <c r="C11" s="3"/>
      <c r="D11" s="7">
        <v>7</v>
      </c>
      <c r="E11" s="11">
        <v>810</v>
      </c>
      <c r="F11" s="18" t="s">
        <v>19</v>
      </c>
      <c r="G11" s="8" t="s">
        <v>20</v>
      </c>
      <c r="H11" s="11">
        <v>107</v>
      </c>
      <c r="I11" s="16"/>
      <c r="J11" s="16"/>
      <c r="K11" s="11">
        <v>810</v>
      </c>
      <c r="L11" s="11"/>
      <c r="M11" s="11"/>
      <c r="N11" s="6"/>
    </row>
    <row r="12" spans="2:21" s="1" customFormat="1" ht="27" customHeight="1" x14ac:dyDescent="0.25">
      <c r="B12" s="3" t="s">
        <v>12</v>
      </c>
      <c r="C12" s="3"/>
      <c r="D12" s="7">
        <v>8</v>
      </c>
      <c r="E12" s="11">
        <v>810</v>
      </c>
      <c r="F12" s="10" t="s">
        <v>22</v>
      </c>
      <c r="G12" s="8" t="s">
        <v>20</v>
      </c>
      <c r="H12" s="11">
        <v>0</v>
      </c>
      <c r="I12" s="16"/>
      <c r="J12" s="16"/>
      <c r="K12" s="11">
        <v>810</v>
      </c>
      <c r="L12" s="11"/>
      <c r="M12" s="11"/>
      <c r="U12" s="1" t="s">
        <v>34</v>
      </c>
    </row>
    <row r="13" spans="2:21" s="1" customFormat="1" ht="27" customHeight="1" x14ac:dyDescent="0.25">
      <c r="B13" s="3" t="s">
        <v>13</v>
      </c>
      <c r="C13" s="3"/>
      <c r="D13" s="7">
        <v>9</v>
      </c>
      <c r="E13" s="11">
        <v>810</v>
      </c>
      <c r="F13" s="10" t="s">
        <v>22</v>
      </c>
      <c r="G13" s="8" t="s">
        <v>20</v>
      </c>
      <c r="H13" s="11">
        <v>0</v>
      </c>
      <c r="I13" s="16"/>
      <c r="J13" s="16"/>
      <c r="K13" s="11">
        <v>810</v>
      </c>
      <c r="L13" s="11"/>
      <c r="M13" s="11"/>
    </row>
    <row r="14" spans="2:21" s="1" customFormat="1" ht="27" customHeight="1" x14ac:dyDescent="0.25">
      <c r="B14" s="3" t="s">
        <v>14</v>
      </c>
      <c r="C14" s="3"/>
      <c r="D14" s="7">
        <v>10</v>
      </c>
      <c r="E14" s="11">
        <v>810</v>
      </c>
      <c r="F14" s="10" t="s">
        <v>22</v>
      </c>
      <c r="G14" s="8" t="s">
        <v>20</v>
      </c>
      <c r="H14" s="11">
        <v>0</v>
      </c>
      <c r="I14" s="16"/>
      <c r="J14" s="16"/>
      <c r="K14" s="11">
        <v>810</v>
      </c>
      <c r="L14" s="11"/>
      <c r="M14" s="11"/>
    </row>
    <row r="15" spans="2:21" s="1" customFormat="1" ht="27" customHeight="1" x14ac:dyDescent="0.25">
      <c r="B15" s="3" t="s">
        <v>11</v>
      </c>
      <c r="C15" s="3"/>
      <c r="D15" s="7">
        <v>11</v>
      </c>
      <c r="E15" s="11">
        <v>810</v>
      </c>
      <c r="F15" s="18" t="s">
        <v>19</v>
      </c>
      <c r="G15" s="8" t="s">
        <v>20</v>
      </c>
      <c r="H15" s="11">
        <v>0</v>
      </c>
      <c r="I15" s="16"/>
      <c r="J15" s="16"/>
      <c r="K15" s="11">
        <v>810</v>
      </c>
      <c r="L15" s="11"/>
      <c r="M15" s="11"/>
    </row>
    <row r="16" spans="2:21" s="1" customFormat="1" ht="27" customHeight="1" x14ac:dyDescent="0.25">
      <c r="B16" s="3" t="s">
        <v>27</v>
      </c>
      <c r="C16" s="3"/>
      <c r="D16" s="7">
        <v>12</v>
      </c>
      <c r="E16" s="11">
        <v>810</v>
      </c>
      <c r="F16" s="10" t="s">
        <v>22</v>
      </c>
      <c r="G16" s="8" t="s">
        <v>20</v>
      </c>
      <c r="H16" s="11">
        <v>0</v>
      </c>
      <c r="I16" s="16"/>
      <c r="J16" s="16"/>
      <c r="K16" s="11">
        <v>810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086B-D8DB-46AD-93A8-C92DEE12E6C5}">
  <dimension ref="B2:U16"/>
  <sheetViews>
    <sheetView workbookViewId="0">
      <selection activeCell="F10" sqref="F10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21" ht="36.75" customHeight="1" x14ac:dyDescent="0.25">
      <c r="D2" s="43" t="s">
        <v>35</v>
      </c>
      <c r="E2" s="43"/>
      <c r="F2" s="43"/>
      <c r="G2" s="43"/>
      <c r="H2" s="43"/>
      <c r="I2" s="25"/>
      <c r="K2" s="44" t="s">
        <v>24</v>
      </c>
      <c r="L2" s="45"/>
    </row>
    <row r="3" spans="2:21" ht="21" x14ac:dyDescent="0.25">
      <c r="D3" s="17"/>
      <c r="E3" s="17"/>
      <c r="F3" s="17"/>
      <c r="G3" s="17"/>
      <c r="H3" s="4"/>
      <c r="I3" s="4"/>
      <c r="K3" s="23">
        <f>(68+939)/11</f>
        <v>91.545454545454547</v>
      </c>
      <c r="L3" s="24"/>
    </row>
    <row r="4" spans="2:21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/>
      <c r="L4" s="7" t="s">
        <v>25</v>
      </c>
      <c r="M4" s="7" t="s">
        <v>26</v>
      </c>
    </row>
    <row r="5" spans="2:21" s="1" customFormat="1" ht="27" customHeight="1" x14ac:dyDescent="0.25">
      <c r="B5" s="3" t="s">
        <v>4</v>
      </c>
      <c r="C5" s="3"/>
      <c r="D5" s="7">
        <v>1</v>
      </c>
      <c r="E5" s="11">
        <v>91.5</v>
      </c>
      <c r="F5" s="7" t="s">
        <v>19</v>
      </c>
      <c r="G5" s="8" t="s">
        <v>20</v>
      </c>
      <c r="H5" s="11">
        <v>0</v>
      </c>
      <c r="I5" s="16"/>
      <c r="J5" s="16"/>
      <c r="K5" s="11">
        <v>91.5</v>
      </c>
      <c r="L5" s="11"/>
      <c r="M5" s="11"/>
    </row>
    <row r="6" spans="2:21" s="1" customFormat="1" ht="27" customHeight="1" x14ac:dyDescent="0.25">
      <c r="B6" s="3" t="s">
        <v>5</v>
      </c>
      <c r="C6" s="3"/>
      <c r="D6" s="7">
        <v>2</v>
      </c>
      <c r="E6" s="11">
        <v>92</v>
      </c>
      <c r="F6" s="9" t="s">
        <v>21</v>
      </c>
      <c r="G6" s="8" t="s">
        <v>20</v>
      </c>
      <c r="H6" s="11">
        <v>0</v>
      </c>
      <c r="I6" s="16"/>
      <c r="J6" s="16"/>
      <c r="K6" s="11">
        <v>91.5</v>
      </c>
      <c r="L6" s="11"/>
      <c r="M6" s="11"/>
    </row>
    <row r="7" spans="2:21" s="1" customFormat="1" ht="27" customHeight="1" x14ac:dyDescent="0.25">
      <c r="B7" s="3" t="s">
        <v>7</v>
      </c>
      <c r="C7" s="3"/>
      <c r="D7" s="7">
        <v>3</v>
      </c>
      <c r="E7" s="11">
        <v>91.5</v>
      </c>
      <c r="F7" s="10" t="s">
        <v>22</v>
      </c>
      <c r="G7" s="8" t="s">
        <v>20</v>
      </c>
      <c r="H7" s="11">
        <v>0</v>
      </c>
      <c r="I7" s="16"/>
      <c r="J7" s="16"/>
      <c r="K7" s="11">
        <v>91.5</v>
      </c>
      <c r="L7" s="11"/>
      <c r="M7" s="11"/>
    </row>
    <row r="8" spans="2:21" s="1" customFormat="1" ht="27" customHeight="1" x14ac:dyDescent="0.25">
      <c r="B8" s="3" t="s">
        <v>8</v>
      </c>
      <c r="C8" s="3"/>
      <c r="D8" s="7">
        <v>4</v>
      </c>
      <c r="E8" s="11">
        <v>91.5</v>
      </c>
      <c r="F8" s="9" t="s">
        <v>21</v>
      </c>
      <c r="G8" s="8" t="s">
        <v>20</v>
      </c>
      <c r="H8" s="11">
        <f>507-91.5</f>
        <v>415.5</v>
      </c>
      <c r="I8" s="16"/>
      <c r="J8" s="16"/>
      <c r="K8" s="11">
        <v>91.5</v>
      </c>
      <c r="L8" s="11"/>
      <c r="M8" s="11"/>
    </row>
    <row r="9" spans="2:21" s="1" customFormat="1" ht="27" customHeight="1" x14ac:dyDescent="0.25">
      <c r="B9" s="3" t="s">
        <v>9</v>
      </c>
      <c r="C9" s="3"/>
      <c r="D9" s="7">
        <v>5</v>
      </c>
      <c r="E9" s="11">
        <v>91.5</v>
      </c>
      <c r="F9" s="10" t="s">
        <v>22</v>
      </c>
      <c r="G9" s="8" t="s">
        <v>20</v>
      </c>
      <c r="H9" s="11">
        <v>0</v>
      </c>
      <c r="I9" s="16"/>
      <c r="J9" s="16"/>
      <c r="K9" s="11">
        <v>91.5</v>
      </c>
      <c r="L9" s="11"/>
      <c r="M9" s="11"/>
    </row>
    <row r="10" spans="2:21" s="1" customFormat="1" ht="27" customHeight="1" x14ac:dyDescent="0.25">
      <c r="B10" s="3" t="s">
        <v>31</v>
      </c>
      <c r="C10" s="3"/>
      <c r="D10" s="7">
        <v>6</v>
      </c>
      <c r="E10" s="11">
        <v>92</v>
      </c>
      <c r="F10" s="10" t="s">
        <v>22</v>
      </c>
      <c r="G10" s="8" t="s">
        <v>20</v>
      </c>
      <c r="H10" s="11">
        <v>0</v>
      </c>
      <c r="I10" s="16"/>
      <c r="J10" s="16"/>
      <c r="K10" s="11">
        <v>91.5</v>
      </c>
      <c r="L10" s="11"/>
      <c r="M10" s="11"/>
    </row>
    <row r="11" spans="2:21" s="1" customFormat="1" ht="27" customHeight="1" x14ac:dyDescent="0.25">
      <c r="B11" s="3" t="s">
        <v>23</v>
      </c>
      <c r="C11" s="3"/>
      <c r="D11" s="7">
        <v>7</v>
      </c>
      <c r="E11" s="11">
        <v>91.5</v>
      </c>
      <c r="F11" s="9" t="s">
        <v>21</v>
      </c>
      <c r="G11" s="8" t="s">
        <v>20</v>
      </c>
      <c r="H11" s="11">
        <f>107-91.5</f>
        <v>15.5</v>
      </c>
      <c r="I11" s="16"/>
      <c r="J11" s="16"/>
      <c r="K11" s="11">
        <v>91.5</v>
      </c>
      <c r="L11" s="11"/>
      <c r="M11" s="11"/>
      <c r="N11" s="6"/>
    </row>
    <row r="12" spans="2:21" s="1" customFormat="1" ht="27" customHeight="1" x14ac:dyDescent="0.25">
      <c r="B12" s="3" t="s">
        <v>12</v>
      </c>
      <c r="C12" s="3"/>
      <c r="D12" s="7">
        <v>8</v>
      </c>
      <c r="E12" s="11">
        <v>91.5</v>
      </c>
      <c r="F12" s="10" t="s">
        <v>22</v>
      </c>
      <c r="G12" s="8" t="s">
        <v>20</v>
      </c>
      <c r="H12" s="11">
        <v>0</v>
      </c>
      <c r="I12" s="16"/>
      <c r="J12" s="16"/>
      <c r="K12" s="11">
        <v>91.5</v>
      </c>
      <c r="L12" s="11"/>
      <c r="M12" s="11"/>
      <c r="U12" s="1" t="s">
        <v>34</v>
      </c>
    </row>
    <row r="13" spans="2:21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>
        <v>0</v>
      </c>
      <c r="L13" s="11"/>
      <c r="M13" s="11"/>
    </row>
    <row r="14" spans="2:21" s="1" customFormat="1" ht="27" customHeight="1" x14ac:dyDescent="0.25">
      <c r="B14" s="3" t="s">
        <v>14</v>
      </c>
      <c r="C14" s="3"/>
      <c r="D14" s="7">
        <v>10</v>
      </c>
      <c r="E14" s="11">
        <v>91.5</v>
      </c>
      <c r="F14" s="10" t="s">
        <v>22</v>
      </c>
      <c r="G14" s="8" t="s">
        <v>20</v>
      </c>
      <c r="H14" s="11">
        <v>0</v>
      </c>
      <c r="I14" s="16"/>
      <c r="J14" s="16"/>
      <c r="K14" s="11">
        <v>91.5</v>
      </c>
      <c r="L14" s="11"/>
      <c r="M14" s="11"/>
    </row>
    <row r="15" spans="2:21" s="1" customFormat="1" ht="27" customHeight="1" x14ac:dyDescent="0.25">
      <c r="B15" s="3" t="s">
        <v>11</v>
      </c>
      <c r="C15" s="3"/>
      <c r="D15" s="7">
        <v>11</v>
      </c>
      <c r="E15" s="11">
        <v>91.5</v>
      </c>
      <c r="F15" s="10" t="s">
        <v>22</v>
      </c>
      <c r="G15" s="8" t="s">
        <v>20</v>
      </c>
      <c r="H15" s="11">
        <v>0</v>
      </c>
      <c r="I15" s="16"/>
      <c r="J15" s="16"/>
      <c r="K15" s="11">
        <v>91.5</v>
      </c>
      <c r="L15" s="11"/>
      <c r="M15" s="11"/>
    </row>
    <row r="16" spans="2:21" s="1" customFormat="1" ht="27" customHeight="1" x14ac:dyDescent="0.25">
      <c r="B16" s="3" t="s">
        <v>27</v>
      </c>
      <c r="C16" s="3"/>
      <c r="D16" s="7">
        <v>12</v>
      </c>
      <c r="E16" s="11">
        <v>91.5</v>
      </c>
      <c r="F16" s="10" t="s">
        <v>22</v>
      </c>
      <c r="G16" s="8" t="s">
        <v>20</v>
      </c>
      <c r="H16" s="11">
        <v>0</v>
      </c>
      <c r="I16" s="16"/>
      <c r="J16" s="16"/>
      <c r="K16" s="11">
        <v>91.5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F92C-96EA-4756-8F82-C9FB101AA9E1}">
  <dimension ref="B2:U16"/>
  <sheetViews>
    <sheetView workbookViewId="0">
      <selection activeCell="F7" sqref="F7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21" ht="36.75" customHeight="1" x14ac:dyDescent="0.25">
      <c r="D2" s="43" t="s">
        <v>36</v>
      </c>
      <c r="E2" s="43"/>
      <c r="F2" s="43"/>
      <c r="G2" s="43"/>
      <c r="H2" s="43"/>
      <c r="I2" s="25"/>
      <c r="K2" s="44" t="s">
        <v>24</v>
      </c>
      <c r="L2" s="45"/>
    </row>
    <row r="3" spans="2:21" ht="21" x14ac:dyDescent="0.25">
      <c r="D3" s="17"/>
      <c r="E3" s="17"/>
      <c r="F3" s="17"/>
      <c r="G3" s="17"/>
      <c r="H3" s="4"/>
      <c r="I3" s="4"/>
      <c r="K3" s="23"/>
      <c r="L3" s="24"/>
    </row>
    <row r="4" spans="2:21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/>
      <c r="L4" s="7" t="s">
        <v>25</v>
      </c>
      <c r="M4" s="7" t="s">
        <v>26</v>
      </c>
    </row>
    <row r="5" spans="2:21" s="1" customFormat="1" ht="27" customHeight="1" x14ac:dyDescent="0.25">
      <c r="B5" s="3" t="s">
        <v>4</v>
      </c>
      <c r="C5" s="3"/>
      <c r="D5" s="7">
        <v>1</v>
      </c>
      <c r="E5" s="11">
        <v>95.5</v>
      </c>
      <c r="F5" s="7" t="s">
        <v>19</v>
      </c>
      <c r="G5" s="8" t="s">
        <v>20</v>
      </c>
      <c r="H5" s="11">
        <v>0</v>
      </c>
      <c r="I5" s="16"/>
      <c r="J5" s="16"/>
      <c r="K5" s="11">
        <v>95.5</v>
      </c>
      <c r="L5" s="11"/>
      <c r="M5" s="11"/>
    </row>
    <row r="6" spans="2:21" s="1" customFormat="1" ht="27" customHeight="1" x14ac:dyDescent="0.25">
      <c r="B6" s="3" t="s">
        <v>5</v>
      </c>
      <c r="C6" s="3"/>
      <c r="D6" s="7">
        <v>2</v>
      </c>
      <c r="E6" s="11">
        <v>95.5</v>
      </c>
      <c r="F6" s="9" t="s">
        <v>21</v>
      </c>
      <c r="G6" s="8" t="s">
        <v>20</v>
      </c>
      <c r="H6" s="11">
        <v>0</v>
      </c>
      <c r="I6" s="16"/>
      <c r="J6" s="16"/>
      <c r="K6" s="11">
        <v>95.5</v>
      </c>
      <c r="L6" s="11"/>
      <c r="M6" s="11"/>
    </row>
    <row r="7" spans="2:21" s="1" customFormat="1" ht="27" customHeight="1" x14ac:dyDescent="0.25">
      <c r="B7" s="3" t="s">
        <v>7</v>
      </c>
      <c r="C7" s="3"/>
      <c r="D7" s="7">
        <v>3</v>
      </c>
      <c r="E7" s="11">
        <v>95.5</v>
      </c>
      <c r="F7" s="10" t="s">
        <v>22</v>
      </c>
      <c r="G7" s="8" t="s">
        <v>20</v>
      </c>
      <c r="H7" s="11">
        <v>0</v>
      </c>
      <c r="I7" s="16"/>
      <c r="J7" s="16"/>
      <c r="K7" s="11">
        <v>95.5</v>
      </c>
      <c r="L7" s="11"/>
      <c r="M7" s="11"/>
    </row>
    <row r="8" spans="2:21" s="1" customFormat="1" ht="27" customHeight="1" x14ac:dyDescent="0.25">
      <c r="B8" s="3" t="s">
        <v>8</v>
      </c>
      <c r="C8" s="3"/>
      <c r="D8" s="7">
        <v>4</v>
      </c>
      <c r="E8" s="11">
        <v>95.5</v>
      </c>
      <c r="F8" s="9" t="s">
        <v>21</v>
      </c>
      <c r="G8" s="8" t="s">
        <v>20</v>
      </c>
      <c r="H8" s="11">
        <f>415-95.5</f>
        <v>319.5</v>
      </c>
      <c r="I8" s="16"/>
      <c r="J8" s="16"/>
      <c r="K8" s="11">
        <v>95.5</v>
      </c>
      <c r="L8" s="11"/>
      <c r="M8" s="11"/>
    </row>
    <row r="9" spans="2:21" s="1" customFormat="1" ht="27" customHeight="1" x14ac:dyDescent="0.25">
      <c r="B9" s="3" t="s">
        <v>37</v>
      </c>
      <c r="C9" s="3"/>
      <c r="D9" s="7">
        <v>5</v>
      </c>
      <c r="E9" s="11">
        <v>95.5</v>
      </c>
      <c r="F9" s="10" t="s">
        <v>22</v>
      </c>
      <c r="G9" s="8" t="s">
        <v>20</v>
      </c>
      <c r="H9" s="11">
        <v>0</v>
      </c>
      <c r="I9" s="16"/>
      <c r="J9" s="16"/>
      <c r="K9" s="11">
        <v>95.5</v>
      </c>
      <c r="L9" s="11"/>
      <c r="M9" s="11"/>
    </row>
    <row r="10" spans="2:21" s="1" customFormat="1" ht="27" customHeight="1" x14ac:dyDescent="0.25">
      <c r="B10" s="3" t="s">
        <v>31</v>
      </c>
      <c r="C10" s="3"/>
      <c r="D10" s="26">
        <v>6</v>
      </c>
      <c r="E10" s="27"/>
      <c r="F10" s="28"/>
      <c r="G10" s="29"/>
      <c r="H10" s="27">
        <v>0</v>
      </c>
      <c r="I10" s="16"/>
      <c r="J10" s="16"/>
      <c r="K10" s="11"/>
      <c r="L10" s="11"/>
      <c r="M10" s="11"/>
    </row>
    <row r="11" spans="2:21" s="1" customFormat="1" ht="27" customHeight="1" x14ac:dyDescent="0.25">
      <c r="B11" s="3" t="s">
        <v>23</v>
      </c>
      <c r="C11" s="3"/>
      <c r="D11" s="7">
        <v>7</v>
      </c>
      <c r="E11" s="11">
        <v>95.5</v>
      </c>
      <c r="F11" s="9" t="s">
        <v>21</v>
      </c>
      <c r="G11" s="8" t="s">
        <v>20</v>
      </c>
      <c r="H11" s="11">
        <f>215.5-E11</f>
        <v>120</v>
      </c>
      <c r="I11" s="16"/>
      <c r="J11" s="16"/>
      <c r="K11" s="11">
        <v>95.5</v>
      </c>
      <c r="L11" s="11"/>
      <c r="M11" s="11"/>
      <c r="N11" s="6"/>
    </row>
    <row r="12" spans="2:21" s="1" customFormat="1" ht="27" customHeight="1" x14ac:dyDescent="0.25">
      <c r="B12" s="3" t="s">
        <v>12</v>
      </c>
      <c r="C12" s="3"/>
      <c r="D12" s="7">
        <v>8</v>
      </c>
      <c r="E12" s="11">
        <v>95.5</v>
      </c>
      <c r="F12" s="10" t="s">
        <v>22</v>
      </c>
      <c r="G12" s="8" t="s">
        <v>20</v>
      </c>
      <c r="H12" s="11">
        <v>0</v>
      </c>
      <c r="I12" s="16"/>
      <c r="J12" s="16"/>
      <c r="K12" s="11">
        <v>95.5</v>
      </c>
      <c r="L12" s="11"/>
      <c r="M12" s="11"/>
      <c r="U12" s="1" t="s">
        <v>34</v>
      </c>
    </row>
    <row r="13" spans="2:21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/>
      <c r="L13" s="11"/>
      <c r="M13" s="11"/>
    </row>
    <row r="14" spans="2:21" s="1" customFormat="1" ht="27" customHeight="1" x14ac:dyDescent="0.25">
      <c r="B14" s="3" t="s">
        <v>14</v>
      </c>
      <c r="C14" s="3"/>
      <c r="D14" s="7">
        <v>10</v>
      </c>
      <c r="E14" s="11">
        <v>95.5</v>
      </c>
      <c r="F14" s="10" t="s">
        <v>22</v>
      </c>
      <c r="G14" s="8" t="s">
        <v>20</v>
      </c>
      <c r="H14" s="11">
        <v>0</v>
      </c>
      <c r="I14" s="16"/>
      <c r="J14" s="16"/>
      <c r="K14" s="11">
        <v>95.5</v>
      </c>
      <c r="L14" s="11"/>
      <c r="M14" s="11"/>
    </row>
    <row r="15" spans="2:21" s="1" customFormat="1" ht="27" customHeight="1" x14ac:dyDescent="0.25">
      <c r="B15" s="3" t="s">
        <v>11</v>
      </c>
      <c r="C15" s="3"/>
      <c r="D15" s="7">
        <v>11</v>
      </c>
      <c r="E15" s="11">
        <v>95.5</v>
      </c>
      <c r="F15" s="10" t="s">
        <v>22</v>
      </c>
      <c r="G15" s="8" t="s">
        <v>20</v>
      </c>
      <c r="H15" s="11">
        <v>0</v>
      </c>
      <c r="I15" s="16"/>
      <c r="J15" s="16"/>
      <c r="K15" s="11">
        <v>95.5</v>
      </c>
      <c r="L15" s="11"/>
      <c r="M15" s="11"/>
    </row>
    <row r="16" spans="2:21" s="1" customFormat="1" ht="27" customHeight="1" x14ac:dyDescent="0.25">
      <c r="B16" s="3" t="s">
        <v>27</v>
      </c>
      <c r="C16" s="3"/>
      <c r="D16" s="7">
        <v>12</v>
      </c>
      <c r="E16" s="11">
        <v>95.5</v>
      </c>
      <c r="F16" s="10" t="s">
        <v>22</v>
      </c>
      <c r="G16" s="8" t="s">
        <v>20</v>
      </c>
      <c r="H16" s="11">
        <v>0</v>
      </c>
      <c r="I16" s="16"/>
      <c r="J16" s="16"/>
      <c r="K16" s="11">
        <v>95.5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1C60-7D1C-4FBA-8144-924A31137AC1}">
  <dimension ref="B2:U16"/>
  <sheetViews>
    <sheetView workbookViewId="0">
      <selection activeCell="F9" sqref="F9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21" ht="36.75" customHeight="1" x14ac:dyDescent="0.25">
      <c r="D2" s="43" t="s">
        <v>38</v>
      </c>
      <c r="E2" s="43"/>
      <c r="F2" s="43"/>
      <c r="G2" s="43"/>
      <c r="H2" s="43"/>
      <c r="I2" s="25"/>
      <c r="K2" s="44" t="s">
        <v>24</v>
      </c>
      <c r="L2" s="45"/>
    </row>
    <row r="3" spans="2:21" ht="21" x14ac:dyDescent="0.25">
      <c r="D3" s="17"/>
      <c r="E3" s="17"/>
      <c r="F3" s="17"/>
      <c r="G3" s="17"/>
      <c r="H3" s="4"/>
      <c r="I3" s="4"/>
      <c r="K3" s="23"/>
      <c r="L3" s="24"/>
    </row>
    <row r="4" spans="2:21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f>(947+101)/10</f>
        <v>104.8</v>
      </c>
      <c r="L4" s="7" t="s">
        <v>25</v>
      </c>
      <c r="M4" s="7" t="s">
        <v>26</v>
      </c>
    </row>
    <row r="5" spans="2:21" s="1" customFormat="1" ht="27" customHeight="1" x14ac:dyDescent="0.25">
      <c r="B5" s="3" t="s">
        <v>4</v>
      </c>
      <c r="C5" s="3"/>
      <c r="D5" s="7">
        <v>1</v>
      </c>
      <c r="E5" s="11">
        <v>104</v>
      </c>
      <c r="F5" s="7" t="s">
        <v>19</v>
      </c>
      <c r="G5" s="8" t="s">
        <v>20</v>
      </c>
      <c r="H5" s="11">
        <v>0</v>
      </c>
      <c r="I5" s="16"/>
      <c r="J5" s="16"/>
      <c r="K5" s="11">
        <v>104</v>
      </c>
      <c r="L5" s="11"/>
      <c r="M5" s="11"/>
    </row>
    <row r="6" spans="2:21" s="1" customFormat="1" ht="27" customHeight="1" x14ac:dyDescent="0.25">
      <c r="B6" s="3" t="s">
        <v>5</v>
      </c>
      <c r="C6" s="3"/>
      <c r="D6" s="7">
        <v>2</v>
      </c>
      <c r="E6" s="11">
        <v>104</v>
      </c>
      <c r="F6" s="9" t="s">
        <v>21</v>
      </c>
      <c r="G6" s="8" t="s">
        <v>20</v>
      </c>
      <c r="H6" s="11">
        <v>5</v>
      </c>
      <c r="I6" s="16"/>
      <c r="J6" s="16"/>
      <c r="K6" s="11">
        <v>104</v>
      </c>
      <c r="L6" s="11"/>
      <c r="M6" s="11"/>
    </row>
    <row r="7" spans="2:21" s="1" customFormat="1" ht="27" customHeight="1" x14ac:dyDescent="0.25">
      <c r="B7" s="3" t="s">
        <v>7</v>
      </c>
      <c r="C7" s="3"/>
      <c r="D7" s="7">
        <v>3</v>
      </c>
      <c r="E7" s="11">
        <v>104</v>
      </c>
      <c r="F7" s="10" t="s">
        <v>22</v>
      </c>
      <c r="G7" s="8" t="s">
        <v>20</v>
      </c>
      <c r="H7" s="11">
        <v>0</v>
      </c>
      <c r="I7" s="16"/>
      <c r="J7" s="16"/>
      <c r="K7" s="11">
        <v>104</v>
      </c>
      <c r="L7" s="11"/>
      <c r="M7" s="11"/>
    </row>
    <row r="8" spans="2:21" s="1" customFormat="1" ht="27" customHeight="1" x14ac:dyDescent="0.25">
      <c r="B8" s="3" t="s">
        <v>8</v>
      </c>
      <c r="C8" s="3"/>
      <c r="D8" s="7">
        <v>4</v>
      </c>
      <c r="E8" s="11">
        <v>104</v>
      </c>
      <c r="F8" s="9" t="s">
        <v>21</v>
      </c>
      <c r="G8" s="8" t="s">
        <v>20</v>
      </c>
      <c r="H8" s="11">
        <f>319-E8</f>
        <v>215</v>
      </c>
      <c r="I8" s="16"/>
      <c r="J8" s="16"/>
      <c r="K8" s="11">
        <v>104</v>
      </c>
      <c r="L8" s="11"/>
      <c r="M8" s="11"/>
    </row>
    <row r="9" spans="2:21" s="1" customFormat="1" ht="27" customHeight="1" x14ac:dyDescent="0.25">
      <c r="B9" s="3" t="s">
        <v>37</v>
      </c>
      <c r="C9" s="3"/>
      <c r="D9" s="7">
        <v>5</v>
      </c>
      <c r="E9" s="11">
        <v>104</v>
      </c>
      <c r="F9" s="10" t="s">
        <v>22</v>
      </c>
      <c r="G9" s="8" t="s">
        <v>20</v>
      </c>
      <c r="H9" s="11">
        <v>0</v>
      </c>
      <c r="I9" s="16"/>
      <c r="J9" s="16"/>
      <c r="K9" s="11">
        <v>104</v>
      </c>
      <c r="L9" s="11"/>
      <c r="M9" s="11"/>
    </row>
    <row r="10" spans="2:21" s="1" customFormat="1" ht="27" customHeight="1" x14ac:dyDescent="0.25">
      <c r="B10" s="3" t="s">
        <v>31</v>
      </c>
      <c r="C10" s="3"/>
      <c r="D10" s="26">
        <v>6</v>
      </c>
      <c r="E10" s="27"/>
      <c r="F10" s="28"/>
      <c r="G10" s="29"/>
      <c r="H10" s="27">
        <v>0</v>
      </c>
      <c r="I10" s="16"/>
      <c r="J10" s="16"/>
      <c r="K10" s="11"/>
      <c r="L10" s="11"/>
      <c r="M10" s="11"/>
    </row>
    <row r="11" spans="2:21" s="1" customFormat="1" ht="27" customHeight="1" x14ac:dyDescent="0.25">
      <c r="B11" s="3" t="s">
        <v>23</v>
      </c>
      <c r="C11" s="3"/>
      <c r="D11" s="7">
        <v>7</v>
      </c>
      <c r="E11" s="11">
        <v>104</v>
      </c>
      <c r="F11" s="9" t="s">
        <v>21</v>
      </c>
      <c r="G11" s="8" t="s">
        <v>20</v>
      </c>
      <c r="H11" s="11">
        <f>120-E11</f>
        <v>16</v>
      </c>
      <c r="I11" s="16"/>
      <c r="J11" s="16"/>
      <c r="K11" s="11">
        <v>104</v>
      </c>
      <c r="L11" s="11"/>
      <c r="M11" s="11"/>
      <c r="N11" s="6"/>
    </row>
    <row r="12" spans="2:21" s="1" customFormat="1" ht="27" customHeight="1" x14ac:dyDescent="0.25">
      <c r="B12" s="3" t="s">
        <v>12</v>
      </c>
      <c r="C12" s="3"/>
      <c r="D12" s="7">
        <v>8</v>
      </c>
      <c r="E12" s="11">
        <v>104</v>
      </c>
      <c r="F12" s="10" t="s">
        <v>22</v>
      </c>
      <c r="G12" s="8" t="s">
        <v>20</v>
      </c>
      <c r="H12" s="11">
        <v>0</v>
      </c>
      <c r="I12" s="16"/>
      <c r="J12" s="16"/>
      <c r="K12" s="11">
        <v>104</v>
      </c>
      <c r="L12" s="11"/>
      <c r="M12" s="11"/>
      <c r="U12" s="1" t="s">
        <v>34</v>
      </c>
    </row>
    <row r="13" spans="2:21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/>
      <c r="L13" s="11"/>
      <c r="M13" s="11"/>
    </row>
    <row r="14" spans="2:21" s="1" customFormat="1" ht="27" customHeight="1" x14ac:dyDescent="0.25">
      <c r="B14" s="3" t="s">
        <v>14</v>
      </c>
      <c r="C14" s="3"/>
      <c r="D14" s="7">
        <v>10</v>
      </c>
      <c r="E14" s="11">
        <v>104</v>
      </c>
      <c r="F14" s="10" t="s">
        <v>22</v>
      </c>
      <c r="G14" s="8" t="s">
        <v>20</v>
      </c>
      <c r="H14" s="11">
        <v>0</v>
      </c>
      <c r="I14" s="16"/>
      <c r="J14" s="16"/>
      <c r="K14" s="11">
        <v>104</v>
      </c>
      <c r="L14" s="11"/>
      <c r="M14" s="11"/>
    </row>
    <row r="15" spans="2:21" s="1" customFormat="1" ht="27" customHeight="1" x14ac:dyDescent="0.25">
      <c r="B15" s="3" t="s">
        <v>11</v>
      </c>
      <c r="C15" s="3"/>
      <c r="D15" s="7">
        <v>11</v>
      </c>
      <c r="E15" s="11">
        <v>104</v>
      </c>
      <c r="F15" s="10" t="s">
        <v>22</v>
      </c>
      <c r="G15" s="8" t="s">
        <v>20</v>
      </c>
      <c r="H15" s="11">
        <v>0</v>
      </c>
      <c r="I15" s="16"/>
      <c r="J15" s="16"/>
      <c r="K15" s="11">
        <v>104</v>
      </c>
      <c r="L15" s="11"/>
      <c r="M15" s="11"/>
    </row>
    <row r="16" spans="2:21" s="1" customFormat="1" ht="27" customHeight="1" x14ac:dyDescent="0.25">
      <c r="B16" s="3" t="s">
        <v>27</v>
      </c>
      <c r="C16" s="3"/>
      <c r="D16" s="7">
        <v>12</v>
      </c>
      <c r="E16" s="11">
        <v>104</v>
      </c>
      <c r="F16" s="10" t="s">
        <v>22</v>
      </c>
      <c r="G16" s="8" t="s">
        <v>20</v>
      </c>
      <c r="H16" s="11">
        <v>0</v>
      </c>
      <c r="I16" s="16"/>
      <c r="J16" s="16"/>
      <c r="K16" s="11">
        <v>104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E3B3-C0BE-41F0-A960-6A446119A29D}">
  <dimension ref="B2:U16"/>
  <sheetViews>
    <sheetView workbookViewId="0">
      <selection activeCell="F7" sqref="F7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21" ht="36.75" customHeight="1" x14ac:dyDescent="0.25">
      <c r="D2" s="43" t="s">
        <v>39</v>
      </c>
      <c r="E2" s="43"/>
      <c r="F2" s="43"/>
      <c r="G2" s="43"/>
      <c r="H2" s="43"/>
      <c r="I2" s="25"/>
      <c r="K2" s="44" t="s">
        <v>24</v>
      </c>
      <c r="L2" s="45"/>
    </row>
    <row r="3" spans="2:21" ht="21" x14ac:dyDescent="0.25">
      <c r="D3" s="17"/>
      <c r="E3" s="17"/>
      <c r="F3" s="17"/>
      <c r="G3" s="17"/>
      <c r="H3" s="4"/>
      <c r="I3" s="4"/>
      <c r="K3" s="23"/>
      <c r="L3" s="24"/>
    </row>
    <row r="4" spans="2:21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f>SUM(K5:K16)</f>
        <v>947.99999999999977</v>
      </c>
      <c r="L4" s="7" t="s">
        <v>25</v>
      </c>
      <c r="M4" s="7" t="s">
        <v>26</v>
      </c>
    </row>
    <row r="5" spans="2:21" s="1" customFormat="1" ht="27" customHeight="1" x14ac:dyDescent="0.25">
      <c r="B5" s="3" t="s">
        <v>4</v>
      </c>
      <c r="C5" s="3"/>
      <c r="D5" s="7">
        <v>1</v>
      </c>
      <c r="E5" s="11">
        <v>94.8</v>
      </c>
      <c r="F5" s="7" t="s">
        <v>19</v>
      </c>
      <c r="G5" s="8" t="s">
        <v>20</v>
      </c>
      <c r="H5" s="11">
        <v>0</v>
      </c>
      <c r="I5" s="16"/>
      <c r="J5" s="16"/>
      <c r="K5" s="11">
        <v>94.8</v>
      </c>
      <c r="L5" s="11"/>
      <c r="M5" s="11"/>
    </row>
    <row r="6" spans="2:21" s="1" customFormat="1" ht="27" customHeight="1" x14ac:dyDescent="0.25">
      <c r="B6" s="3" t="s">
        <v>5</v>
      </c>
      <c r="C6" s="3"/>
      <c r="D6" s="7">
        <v>2</v>
      </c>
      <c r="E6" s="11">
        <v>94.8</v>
      </c>
      <c r="F6" s="30" t="s">
        <v>21</v>
      </c>
      <c r="G6" s="8" t="s">
        <v>20</v>
      </c>
      <c r="H6" s="11">
        <v>6</v>
      </c>
      <c r="I6" s="16"/>
      <c r="J6" s="16"/>
      <c r="K6" s="11">
        <v>94.8</v>
      </c>
      <c r="L6" s="11"/>
      <c r="M6" s="11"/>
    </row>
    <row r="7" spans="2:21" s="1" customFormat="1" ht="27" customHeight="1" x14ac:dyDescent="0.25">
      <c r="B7" s="3" t="s">
        <v>7</v>
      </c>
      <c r="C7" s="3"/>
      <c r="D7" s="7">
        <v>3</v>
      </c>
      <c r="E7" s="11">
        <v>94.8</v>
      </c>
      <c r="F7" s="10" t="s">
        <v>22</v>
      </c>
      <c r="G7" s="8" t="s">
        <v>20</v>
      </c>
      <c r="H7" s="11">
        <v>0</v>
      </c>
      <c r="I7" s="16"/>
      <c r="J7" s="16"/>
      <c r="K7" s="11">
        <v>94.8</v>
      </c>
      <c r="L7" s="11"/>
      <c r="M7" s="11"/>
    </row>
    <row r="8" spans="2:21" s="1" customFormat="1" ht="27" customHeight="1" x14ac:dyDescent="0.25">
      <c r="B8" s="3" t="s">
        <v>8</v>
      </c>
      <c r="C8" s="3"/>
      <c r="D8" s="7">
        <v>4</v>
      </c>
      <c r="E8" s="11">
        <v>94.8</v>
      </c>
      <c r="F8" s="9" t="s">
        <v>21</v>
      </c>
      <c r="G8" s="8" t="s">
        <v>20</v>
      </c>
      <c r="H8" s="11">
        <v>121</v>
      </c>
      <c r="I8" s="16"/>
      <c r="J8" s="16"/>
      <c r="K8" s="11">
        <v>94.8</v>
      </c>
      <c r="L8" s="11"/>
      <c r="M8" s="11"/>
    </row>
    <row r="9" spans="2:21" s="1" customFormat="1" ht="27" customHeight="1" x14ac:dyDescent="0.25">
      <c r="B9" s="3" t="s">
        <v>37</v>
      </c>
      <c r="C9" s="3"/>
      <c r="D9" s="7">
        <v>5</v>
      </c>
      <c r="E9" s="11">
        <v>94.8</v>
      </c>
      <c r="F9" s="10" t="s">
        <v>22</v>
      </c>
      <c r="G9" s="8" t="s">
        <v>20</v>
      </c>
      <c r="H9" s="11">
        <v>0</v>
      </c>
      <c r="I9" s="16"/>
      <c r="J9" s="16"/>
      <c r="K9" s="11">
        <v>94.8</v>
      </c>
      <c r="L9" s="11"/>
      <c r="M9" s="11"/>
    </row>
    <row r="10" spans="2:21" s="1" customFormat="1" ht="27" customHeight="1" x14ac:dyDescent="0.25">
      <c r="B10" s="3" t="s">
        <v>31</v>
      </c>
      <c r="C10" s="3"/>
      <c r="D10" s="26">
        <v>6</v>
      </c>
      <c r="E10" s="27"/>
      <c r="F10" s="28"/>
      <c r="G10" s="29"/>
      <c r="H10" s="27">
        <v>0</v>
      </c>
      <c r="I10" s="16"/>
      <c r="J10" s="16"/>
      <c r="K10" s="11"/>
      <c r="L10" s="11"/>
      <c r="M10" s="11"/>
    </row>
    <row r="11" spans="2:21" s="1" customFormat="1" ht="27" customHeight="1" x14ac:dyDescent="0.25">
      <c r="B11" s="3" t="s">
        <v>23</v>
      </c>
      <c r="C11" s="3"/>
      <c r="D11" s="7">
        <v>7</v>
      </c>
      <c r="E11" s="11">
        <v>94.8</v>
      </c>
      <c r="F11" s="8" t="s">
        <v>20</v>
      </c>
      <c r="G11" s="8" t="s">
        <v>20</v>
      </c>
      <c r="H11" s="11">
        <v>16</v>
      </c>
      <c r="I11" s="16"/>
      <c r="J11" s="16"/>
      <c r="K11" s="11">
        <v>94.8</v>
      </c>
      <c r="L11" s="11"/>
      <c r="M11" s="11"/>
      <c r="N11" s="6"/>
    </row>
    <row r="12" spans="2:21" s="1" customFormat="1" ht="27" customHeight="1" x14ac:dyDescent="0.25">
      <c r="B12" s="3" t="s">
        <v>12</v>
      </c>
      <c r="C12" s="3"/>
      <c r="D12" s="7">
        <v>8</v>
      </c>
      <c r="E12" s="11">
        <v>94.8</v>
      </c>
      <c r="F12" s="10" t="s">
        <v>22</v>
      </c>
      <c r="G12" s="8" t="s">
        <v>20</v>
      </c>
      <c r="H12" s="11">
        <v>0</v>
      </c>
      <c r="I12" s="16"/>
      <c r="J12" s="16"/>
      <c r="K12" s="11">
        <v>94.8</v>
      </c>
      <c r="L12" s="11"/>
      <c r="M12" s="11"/>
      <c r="U12" s="1" t="s">
        <v>34</v>
      </c>
    </row>
    <row r="13" spans="2:21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/>
      <c r="L13" s="11"/>
      <c r="M13" s="11"/>
    </row>
    <row r="14" spans="2:21" s="1" customFormat="1" ht="27" customHeight="1" x14ac:dyDescent="0.25">
      <c r="B14" s="3" t="s">
        <v>14</v>
      </c>
      <c r="C14" s="3"/>
      <c r="D14" s="7">
        <v>10</v>
      </c>
      <c r="E14" s="11">
        <v>94.8</v>
      </c>
      <c r="F14" s="9" t="s">
        <v>21</v>
      </c>
      <c r="G14" s="8" t="s">
        <v>20</v>
      </c>
      <c r="H14" s="11">
        <f>200-E14</f>
        <v>105.2</v>
      </c>
      <c r="I14" s="16"/>
      <c r="J14" s="16"/>
      <c r="K14" s="11">
        <v>94.8</v>
      </c>
      <c r="L14" s="11"/>
      <c r="M14" s="11"/>
    </row>
    <row r="15" spans="2:21" s="1" customFormat="1" ht="27" customHeight="1" x14ac:dyDescent="0.25">
      <c r="B15" s="3" t="s">
        <v>11</v>
      </c>
      <c r="C15" s="3"/>
      <c r="D15" s="7">
        <v>11</v>
      </c>
      <c r="E15" s="11">
        <v>94.8</v>
      </c>
      <c r="F15" s="10" t="s">
        <v>22</v>
      </c>
      <c r="G15" s="8" t="s">
        <v>20</v>
      </c>
      <c r="H15" s="11">
        <v>0</v>
      </c>
      <c r="I15" s="16"/>
      <c r="J15" s="16"/>
      <c r="K15" s="11">
        <v>94.8</v>
      </c>
      <c r="L15" s="11"/>
      <c r="M15" s="11"/>
    </row>
    <row r="16" spans="2:21" s="1" customFormat="1" ht="27" customHeight="1" x14ac:dyDescent="0.25">
      <c r="B16" s="3" t="s">
        <v>27</v>
      </c>
      <c r="C16" s="3"/>
      <c r="D16" s="7">
        <v>12</v>
      </c>
      <c r="E16" s="11">
        <v>94.8</v>
      </c>
      <c r="F16" s="10"/>
      <c r="G16" s="8"/>
      <c r="H16" s="11">
        <v>0</v>
      </c>
      <c r="I16" s="16"/>
      <c r="J16" s="16"/>
      <c r="K16" s="11">
        <v>94.8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D4B1-A3D5-4690-A6BF-161D120CA4E7}">
  <dimension ref="B2:N16"/>
  <sheetViews>
    <sheetView workbookViewId="0">
      <selection activeCell="H10" sqref="H10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4" ht="36.75" customHeight="1" x14ac:dyDescent="0.25">
      <c r="D2" s="43" t="s">
        <v>40</v>
      </c>
      <c r="E2" s="43"/>
      <c r="F2" s="43"/>
      <c r="G2" s="43"/>
      <c r="H2" s="43"/>
      <c r="I2" s="25"/>
      <c r="K2" s="44" t="s">
        <v>24</v>
      </c>
      <c r="L2" s="45"/>
    </row>
    <row r="3" spans="2:14" ht="21" x14ac:dyDescent="0.25">
      <c r="D3" s="17"/>
      <c r="E3" s="17"/>
      <c r="F3" s="17"/>
      <c r="G3" s="17"/>
      <c r="H3" s="4"/>
      <c r="I3" s="4"/>
      <c r="K3" s="23"/>
      <c r="L3" s="24"/>
    </row>
    <row r="4" spans="2:14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v>1040</v>
      </c>
      <c r="L4" s="7" t="s">
        <v>25</v>
      </c>
      <c r="M4" s="7" t="s">
        <v>26</v>
      </c>
    </row>
    <row r="5" spans="2:14" s="1" customFormat="1" ht="27" customHeight="1" x14ac:dyDescent="0.25">
      <c r="B5" s="3" t="s">
        <v>4</v>
      </c>
      <c r="C5" s="3"/>
      <c r="D5" s="7">
        <v>1</v>
      </c>
      <c r="E5" s="11">
        <v>94.8</v>
      </c>
      <c r="F5" s="7" t="s">
        <v>19</v>
      </c>
      <c r="G5" s="8" t="s">
        <v>20</v>
      </c>
      <c r="H5" s="11">
        <v>0</v>
      </c>
      <c r="I5" s="16"/>
      <c r="J5" s="16"/>
      <c r="K5" s="11">
        <v>104</v>
      </c>
      <c r="L5" s="11"/>
      <c r="M5" s="11"/>
    </row>
    <row r="6" spans="2:14" s="1" customFormat="1" ht="27" customHeight="1" x14ac:dyDescent="0.25">
      <c r="B6" s="3" t="s">
        <v>5</v>
      </c>
      <c r="C6" s="3"/>
      <c r="D6" s="7">
        <v>2</v>
      </c>
      <c r="E6" s="11"/>
      <c r="F6" s="30"/>
      <c r="G6" s="8"/>
      <c r="H6" s="11">
        <v>6</v>
      </c>
      <c r="I6" s="16"/>
      <c r="J6" s="16"/>
      <c r="K6" s="11">
        <v>104</v>
      </c>
      <c r="L6" s="11"/>
      <c r="M6" s="11"/>
    </row>
    <row r="7" spans="2:14" s="1" customFormat="1" ht="27" customHeight="1" x14ac:dyDescent="0.25">
      <c r="B7" s="3" t="s">
        <v>7</v>
      </c>
      <c r="C7" s="3"/>
      <c r="D7" s="7">
        <v>3</v>
      </c>
      <c r="E7" s="11">
        <v>104</v>
      </c>
      <c r="F7" s="10" t="s">
        <v>22</v>
      </c>
      <c r="G7" s="8" t="s">
        <v>20</v>
      </c>
      <c r="H7" s="11">
        <v>0</v>
      </c>
      <c r="I7" s="16"/>
      <c r="J7" s="16"/>
      <c r="K7" s="11">
        <v>104</v>
      </c>
      <c r="L7" s="11"/>
      <c r="M7" s="11"/>
    </row>
    <row r="8" spans="2:14" s="1" customFormat="1" ht="27" customHeight="1" x14ac:dyDescent="0.25">
      <c r="B8" s="3" t="s">
        <v>8</v>
      </c>
      <c r="C8" s="3"/>
      <c r="D8" s="7">
        <v>4</v>
      </c>
      <c r="E8" s="11">
        <v>104</v>
      </c>
      <c r="F8" s="9" t="s">
        <v>21</v>
      </c>
      <c r="G8" s="8" t="s">
        <v>20</v>
      </c>
      <c r="H8" s="11">
        <f>121-E8</f>
        <v>17</v>
      </c>
      <c r="I8" s="16"/>
      <c r="J8" s="16"/>
      <c r="K8" s="11">
        <v>104</v>
      </c>
      <c r="L8" s="11"/>
      <c r="M8" s="11"/>
    </row>
    <row r="9" spans="2:14" s="1" customFormat="1" ht="27" customHeight="1" x14ac:dyDescent="0.25">
      <c r="B9" s="3" t="s">
        <v>37</v>
      </c>
      <c r="C9" s="3"/>
      <c r="D9" s="7">
        <v>5</v>
      </c>
      <c r="E9" s="11">
        <v>104</v>
      </c>
      <c r="F9" s="10" t="s">
        <v>22</v>
      </c>
      <c r="G9" s="8" t="s">
        <v>20</v>
      </c>
      <c r="H9" s="11">
        <f>208-E9</f>
        <v>104</v>
      </c>
      <c r="I9" s="16"/>
      <c r="J9" s="16"/>
      <c r="K9" s="11">
        <v>104</v>
      </c>
      <c r="L9" s="11"/>
      <c r="M9" s="11"/>
    </row>
    <row r="10" spans="2:14" s="1" customFormat="1" ht="27" customHeight="1" x14ac:dyDescent="0.25">
      <c r="B10" s="3" t="s">
        <v>31</v>
      </c>
      <c r="C10" s="3"/>
      <c r="D10" s="26">
        <v>6</v>
      </c>
      <c r="E10" s="27"/>
      <c r="F10" s="28"/>
      <c r="G10" s="29"/>
      <c r="H10" s="27">
        <v>0</v>
      </c>
      <c r="I10" s="16"/>
      <c r="J10" s="16"/>
      <c r="K10" s="11"/>
      <c r="L10" s="11"/>
      <c r="M10" s="11"/>
    </row>
    <row r="11" spans="2:14" s="1" customFormat="1" ht="27" customHeight="1" x14ac:dyDescent="0.25">
      <c r="B11" s="3" t="s">
        <v>23</v>
      </c>
      <c r="C11" s="3"/>
      <c r="D11" s="7">
        <v>7</v>
      </c>
      <c r="E11" s="11">
        <v>104</v>
      </c>
      <c r="F11" s="9" t="s">
        <v>21</v>
      </c>
      <c r="G11" s="8" t="s">
        <v>20</v>
      </c>
      <c r="H11" s="11">
        <v>112</v>
      </c>
      <c r="I11" s="16"/>
      <c r="J11" s="16"/>
      <c r="K11" s="11">
        <v>104</v>
      </c>
      <c r="L11" s="11"/>
      <c r="M11" s="11"/>
      <c r="N11" s="6"/>
    </row>
    <row r="12" spans="2:14" s="1" customFormat="1" ht="27" customHeight="1" x14ac:dyDescent="0.25">
      <c r="B12" s="3" t="s">
        <v>12</v>
      </c>
      <c r="C12" s="3"/>
      <c r="D12" s="7">
        <v>8</v>
      </c>
      <c r="E12" s="11">
        <v>104</v>
      </c>
      <c r="F12" s="10" t="s">
        <v>22</v>
      </c>
      <c r="G12" s="8" t="s">
        <v>20</v>
      </c>
      <c r="H12" s="11">
        <v>0</v>
      </c>
      <c r="I12" s="16"/>
      <c r="J12" s="16"/>
      <c r="K12" s="11">
        <v>104</v>
      </c>
      <c r="L12" s="11"/>
      <c r="M12" s="11"/>
    </row>
    <row r="13" spans="2:14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/>
      <c r="L13" s="11"/>
      <c r="M13" s="11"/>
    </row>
    <row r="14" spans="2:14" s="1" customFormat="1" ht="27" customHeight="1" x14ac:dyDescent="0.25">
      <c r="B14" s="3" t="s">
        <v>14</v>
      </c>
      <c r="C14" s="3"/>
      <c r="D14" s="7">
        <v>10</v>
      </c>
      <c r="E14" s="11">
        <v>104</v>
      </c>
      <c r="F14" s="9" t="s">
        <v>21</v>
      </c>
      <c r="G14" s="8" t="s">
        <v>20</v>
      </c>
      <c r="H14" s="11">
        <f>105-E14</f>
        <v>1</v>
      </c>
      <c r="I14" s="16"/>
      <c r="J14" s="16"/>
      <c r="K14" s="11">
        <v>104</v>
      </c>
      <c r="L14" s="11"/>
      <c r="M14" s="11"/>
    </row>
    <row r="15" spans="2:14" s="1" customFormat="1" ht="27" customHeight="1" x14ac:dyDescent="0.25">
      <c r="B15" s="3" t="s">
        <v>11</v>
      </c>
      <c r="C15" s="3"/>
      <c r="D15" s="7">
        <v>11</v>
      </c>
      <c r="E15" s="11">
        <v>104</v>
      </c>
      <c r="F15" s="10" t="s">
        <v>22</v>
      </c>
      <c r="G15" s="8" t="s">
        <v>20</v>
      </c>
      <c r="H15" s="11">
        <v>0</v>
      </c>
      <c r="I15" s="16"/>
      <c r="J15" s="16"/>
      <c r="K15" s="11">
        <v>104</v>
      </c>
      <c r="L15" s="11"/>
      <c r="M15" s="11"/>
    </row>
    <row r="16" spans="2:14" s="1" customFormat="1" ht="27" customHeight="1" x14ac:dyDescent="0.25">
      <c r="B16" s="3" t="s">
        <v>27</v>
      </c>
      <c r="C16" s="3"/>
      <c r="D16" s="7">
        <v>12</v>
      </c>
      <c r="E16" s="11">
        <v>104</v>
      </c>
      <c r="F16" s="10" t="s">
        <v>22</v>
      </c>
      <c r="G16" s="8" t="s">
        <v>20</v>
      </c>
      <c r="H16" s="11">
        <v>0</v>
      </c>
      <c r="I16" s="16"/>
      <c r="J16" s="16"/>
      <c r="K16" s="11">
        <v>104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B779-1747-4668-B0D6-14217782ED29}">
  <dimension ref="B2:N16"/>
  <sheetViews>
    <sheetView topLeftCell="A2" zoomScale="85" zoomScaleNormal="85" workbookViewId="0">
      <selection activeCell="F9" sqref="F9"/>
    </sheetView>
  </sheetViews>
  <sheetFormatPr defaultColWidth="9.140625" defaultRowHeight="27" customHeight="1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4" ht="36.75" customHeight="1" x14ac:dyDescent="0.25">
      <c r="D2" s="43" t="s">
        <v>41</v>
      </c>
      <c r="E2" s="43"/>
      <c r="F2" s="43"/>
      <c r="G2" s="43"/>
      <c r="H2" s="43"/>
      <c r="I2" s="25"/>
      <c r="K2" s="44" t="s">
        <v>24</v>
      </c>
      <c r="L2" s="45"/>
    </row>
    <row r="3" spans="2:14" ht="21" x14ac:dyDescent="0.25">
      <c r="D3" s="17"/>
      <c r="E3" s="17"/>
      <c r="F3" s="17"/>
      <c r="G3" s="17"/>
      <c r="H3" s="4"/>
      <c r="I3" s="4"/>
      <c r="K3" s="23"/>
      <c r="L3" s="24"/>
    </row>
    <row r="4" spans="2:14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v>968</v>
      </c>
      <c r="L4" s="7" t="s">
        <v>25</v>
      </c>
      <c r="M4" s="7" t="s">
        <v>26</v>
      </c>
    </row>
    <row r="5" spans="2:14" s="1" customFormat="1" ht="27" customHeight="1" x14ac:dyDescent="0.25">
      <c r="B5" s="3" t="s">
        <v>4</v>
      </c>
      <c r="C5" s="3"/>
      <c r="D5" s="7">
        <v>1</v>
      </c>
      <c r="E5" s="11">
        <v>96.8</v>
      </c>
      <c r="F5" s="7" t="s">
        <v>19</v>
      </c>
      <c r="G5" s="8" t="s">
        <v>20</v>
      </c>
      <c r="H5" s="11">
        <v>0</v>
      </c>
      <c r="I5" s="16"/>
      <c r="J5" s="16"/>
      <c r="K5" s="11">
        <v>96.8</v>
      </c>
      <c r="L5" s="11"/>
      <c r="M5" s="11"/>
    </row>
    <row r="6" spans="2:14" s="1" customFormat="1" ht="27" customHeight="1" x14ac:dyDescent="0.25">
      <c r="B6" s="3" t="s">
        <v>5</v>
      </c>
      <c r="C6" s="3"/>
      <c r="D6" s="7">
        <v>2</v>
      </c>
      <c r="E6" s="11">
        <v>96.8</v>
      </c>
      <c r="F6" s="9" t="s">
        <v>21</v>
      </c>
      <c r="G6" s="8" t="s">
        <v>20</v>
      </c>
      <c r="H6" s="11">
        <f>6+100-E6</f>
        <v>9.2000000000000028</v>
      </c>
      <c r="I6" s="16"/>
      <c r="J6" s="16"/>
      <c r="K6" s="11">
        <v>96.8</v>
      </c>
      <c r="L6" s="11"/>
      <c r="M6" s="11"/>
    </row>
    <row r="7" spans="2:14" s="1" customFormat="1" ht="27" customHeight="1" x14ac:dyDescent="0.25">
      <c r="B7" s="3" t="s">
        <v>7</v>
      </c>
      <c r="C7" s="3"/>
      <c r="D7" s="7">
        <v>3</v>
      </c>
      <c r="E7" s="11">
        <v>96.8</v>
      </c>
      <c r="F7" s="10" t="s">
        <v>22</v>
      </c>
      <c r="G7" s="8" t="s">
        <v>20</v>
      </c>
      <c r="H7" s="11">
        <v>0</v>
      </c>
      <c r="I7" s="16"/>
      <c r="J7" s="16"/>
      <c r="K7" s="11">
        <v>96.8</v>
      </c>
      <c r="L7" s="11"/>
      <c r="M7" s="11"/>
    </row>
    <row r="8" spans="2:14" s="1" customFormat="1" ht="27" customHeight="1" x14ac:dyDescent="0.25">
      <c r="B8" s="3" t="s">
        <v>8</v>
      </c>
      <c r="C8" s="3"/>
      <c r="D8" s="7">
        <v>4</v>
      </c>
      <c r="E8" s="11">
        <v>96.8</v>
      </c>
      <c r="F8" s="9" t="s">
        <v>21</v>
      </c>
      <c r="G8" s="8" t="s">
        <v>20</v>
      </c>
      <c r="H8" s="11">
        <f>17+500-E8</f>
        <v>420.2</v>
      </c>
      <c r="I8" s="16"/>
      <c r="J8" s="16"/>
      <c r="K8" s="11">
        <v>96.8</v>
      </c>
      <c r="L8" s="11"/>
      <c r="M8" s="11"/>
    </row>
    <row r="9" spans="2:14" s="1" customFormat="1" ht="27" customHeight="1" x14ac:dyDescent="0.25">
      <c r="B9" s="3" t="s">
        <v>37</v>
      </c>
      <c r="C9" s="3"/>
      <c r="D9" s="7">
        <v>5</v>
      </c>
      <c r="E9" s="11">
        <v>96.8</v>
      </c>
      <c r="F9" s="10" t="s">
        <v>22</v>
      </c>
      <c r="G9" s="8" t="s">
        <v>20</v>
      </c>
      <c r="H9" s="11">
        <f>104-E9</f>
        <v>7.2000000000000028</v>
      </c>
      <c r="I9" s="16"/>
      <c r="J9" s="16"/>
      <c r="K9" s="11">
        <v>96.8</v>
      </c>
      <c r="L9" s="11"/>
      <c r="M9" s="11"/>
    </row>
    <row r="10" spans="2:14" s="1" customFormat="1" ht="27" customHeight="1" x14ac:dyDescent="0.25">
      <c r="B10" s="3" t="s">
        <v>31</v>
      </c>
      <c r="C10" s="3"/>
      <c r="D10" s="26">
        <v>6</v>
      </c>
      <c r="E10" s="27"/>
      <c r="F10" s="28"/>
      <c r="G10" s="29"/>
      <c r="H10" s="27">
        <v>0</v>
      </c>
      <c r="I10" s="16"/>
      <c r="J10" s="16"/>
      <c r="K10" s="11"/>
      <c r="L10" s="11"/>
      <c r="M10" s="11"/>
    </row>
    <row r="11" spans="2:14" s="1" customFormat="1" ht="27" customHeight="1" x14ac:dyDescent="0.25">
      <c r="B11" s="3" t="s">
        <v>23</v>
      </c>
      <c r="C11" s="3"/>
      <c r="D11" s="7">
        <v>7</v>
      </c>
      <c r="E11" s="11">
        <v>96.8</v>
      </c>
      <c r="F11" s="9" t="s">
        <v>21</v>
      </c>
      <c r="G11" s="8" t="s">
        <v>20</v>
      </c>
      <c r="H11" s="11">
        <f>112+200-E11</f>
        <v>215.2</v>
      </c>
      <c r="I11" s="16"/>
      <c r="J11" s="16"/>
      <c r="K11" s="11">
        <v>96.8</v>
      </c>
      <c r="L11" s="11"/>
      <c r="M11" s="11"/>
      <c r="N11" s="6"/>
    </row>
    <row r="12" spans="2:14" s="1" customFormat="1" ht="27" customHeight="1" x14ac:dyDescent="0.25">
      <c r="B12" s="3" t="s">
        <v>12</v>
      </c>
      <c r="C12" s="3"/>
      <c r="D12" s="7">
        <v>8</v>
      </c>
      <c r="E12" s="11">
        <v>96.8</v>
      </c>
      <c r="F12" s="10" t="s">
        <v>22</v>
      </c>
      <c r="G12" s="8" t="s">
        <v>20</v>
      </c>
      <c r="H12" s="11">
        <v>0</v>
      </c>
      <c r="I12" s="16"/>
      <c r="J12" s="16"/>
      <c r="K12" s="11">
        <v>96.8</v>
      </c>
      <c r="L12" s="11"/>
      <c r="M12" s="11"/>
    </row>
    <row r="13" spans="2:14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/>
      <c r="L13" s="11"/>
      <c r="M13" s="11"/>
    </row>
    <row r="14" spans="2:14" s="1" customFormat="1" ht="27" customHeight="1" x14ac:dyDescent="0.25">
      <c r="B14" s="3" t="s">
        <v>14</v>
      </c>
      <c r="C14" s="3"/>
      <c r="D14" s="7">
        <v>10</v>
      </c>
      <c r="F14" s="9"/>
      <c r="G14" s="8"/>
      <c r="H14" s="11">
        <v>1</v>
      </c>
      <c r="I14" s="16"/>
      <c r="J14" s="16"/>
      <c r="K14" s="11">
        <v>96.8</v>
      </c>
      <c r="L14" s="11"/>
      <c r="M14" s="11"/>
    </row>
    <row r="15" spans="2:14" s="1" customFormat="1" ht="27" customHeight="1" x14ac:dyDescent="0.25">
      <c r="B15" s="3" t="s">
        <v>11</v>
      </c>
      <c r="C15" s="3"/>
      <c r="D15" s="7">
        <v>11</v>
      </c>
      <c r="E15" s="11">
        <v>96.8</v>
      </c>
      <c r="F15" s="10" t="s">
        <v>22</v>
      </c>
      <c r="G15" s="8" t="s">
        <v>20</v>
      </c>
      <c r="H15" s="11">
        <v>0</v>
      </c>
      <c r="I15" s="16"/>
      <c r="J15" s="16"/>
      <c r="K15" s="11">
        <v>96.8</v>
      </c>
      <c r="L15" s="11"/>
      <c r="M15" s="11"/>
    </row>
    <row r="16" spans="2:14" s="1" customFormat="1" ht="27" customHeight="1" x14ac:dyDescent="0.25">
      <c r="B16" s="3" t="s">
        <v>27</v>
      </c>
      <c r="C16" s="3"/>
      <c r="D16" s="7">
        <v>12</v>
      </c>
      <c r="E16" s="11">
        <v>96.8</v>
      </c>
      <c r="F16" s="10" t="s">
        <v>22</v>
      </c>
      <c r="G16" s="8" t="s">
        <v>20</v>
      </c>
      <c r="H16" s="11">
        <v>0</v>
      </c>
      <c r="I16" s="16"/>
      <c r="J16" s="16"/>
      <c r="K16" s="11">
        <v>96.8</v>
      </c>
      <c r="L16" s="11"/>
      <c r="M16" s="11"/>
    </row>
  </sheetData>
  <mergeCells count="2">
    <mergeCell ref="D2:H2"/>
    <mergeCell ref="K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C8AB-981F-440F-84AD-03D7B3DBE93E}">
  <dimension ref="B2:N17"/>
  <sheetViews>
    <sheetView zoomScaleNormal="100" workbookViewId="0">
      <selection activeCell="F12" sqref="F12:G12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6384" width="9.140625" style="2"/>
  </cols>
  <sheetData>
    <row r="2" spans="2:14" ht="36.75" customHeight="1" x14ac:dyDescent="0.25">
      <c r="D2" s="43" t="s">
        <v>42</v>
      </c>
      <c r="E2" s="43"/>
      <c r="F2" s="43"/>
      <c r="G2" s="43"/>
      <c r="H2" s="43"/>
      <c r="I2" s="25"/>
      <c r="K2" s="44" t="s">
        <v>24</v>
      </c>
      <c r="L2" s="45"/>
    </row>
    <row r="3" spans="2:14" ht="21" x14ac:dyDescent="0.25">
      <c r="D3" s="17"/>
      <c r="E3" s="17"/>
      <c r="F3" s="17"/>
      <c r="G3" s="17"/>
      <c r="H3" s="4"/>
      <c r="I3" s="4"/>
      <c r="K3" s="23"/>
      <c r="L3" s="24"/>
    </row>
    <row r="4" spans="2:14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v>1038</v>
      </c>
      <c r="L4" s="7" t="s">
        <v>25</v>
      </c>
      <c r="M4" s="7" t="s">
        <v>26</v>
      </c>
    </row>
    <row r="5" spans="2:14" s="1" customFormat="1" ht="27" customHeight="1" x14ac:dyDescent="0.25">
      <c r="B5" s="3" t="s">
        <v>4</v>
      </c>
      <c r="C5" s="3"/>
      <c r="D5" s="7">
        <v>1</v>
      </c>
      <c r="E5" s="11">
        <v>115</v>
      </c>
      <c r="F5" s="7" t="s">
        <v>19</v>
      </c>
      <c r="G5" s="8" t="s">
        <v>20</v>
      </c>
      <c r="H5" s="11">
        <v>0</v>
      </c>
      <c r="I5" s="16"/>
      <c r="J5" s="16"/>
      <c r="K5" s="11">
        <v>115</v>
      </c>
      <c r="L5" s="11"/>
      <c r="M5" s="11"/>
    </row>
    <row r="6" spans="2:14" s="1" customFormat="1" ht="27" customHeight="1" x14ac:dyDescent="0.25">
      <c r="B6" s="3" t="s">
        <v>5</v>
      </c>
      <c r="C6" s="3"/>
      <c r="D6" s="7">
        <v>2</v>
      </c>
      <c r="E6" s="11">
        <v>115</v>
      </c>
      <c r="F6" s="9" t="s">
        <v>21</v>
      </c>
      <c r="G6" s="8" t="s">
        <v>20</v>
      </c>
      <c r="H6" s="11">
        <v>9.1999999999999993</v>
      </c>
      <c r="I6" s="16"/>
      <c r="J6" s="16"/>
      <c r="K6" s="11">
        <v>115</v>
      </c>
      <c r="L6" s="11"/>
      <c r="M6" s="11"/>
    </row>
    <row r="7" spans="2:14" s="1" customFormat="1" ht="27" customHeight="1" x14ac:dyDescent="0.25">
      <c r="B7" s="3" t="s">
        <v>7</v>
      </c>
      <c r="C7" s="3"/>
      <c r="D7" s="7">
        <v>3</v>
      </c>
      <c r="E7" s="11">
        <v>115</v>
      </c>
      <c r="F7" s="10" t="s">
        <v>22</v>
      </c>
      <c r="G7" s="8" t="s">
        <v>20</v>
      </c>
      <c r="H7" s="11">
        <v>0</v>
      </c>
      <c r="I7" s="16"/>
      <c r="J7" s="16"/>
      <c r="K7" s="11">
        <v>115</v>
      </c>
      <c r="L7" s="11"/>
      <c r="M7" s="11"/>
    </row>
    <row r="8" spans="2:14" s="1" customFormat="1" ht="27" customHeight="1" x14ac:dyDescent="0.25">
      <c r="B8" s="3" t="s">
        <v>8</v>
      </c>
      <c r="C8" s="3"/>
      <c r="D8" s="7">
        <v>4</v>
      </c>
      <c r="E8" s="11">
        <v>115</v>
      </c>
      <c r="F8" s="9" t="s">
        <v>21</v>
      </c>
      <c r="G8" s="8" t="s">
        <v>20</v>
      </c>
      <c r="H8" s="11">
        <f>420.2-E8</f>
        <v>305.2</v>
      </c>
      <c r="I8" s="16"/>
      <c r="J8" s="16"/>
      <c r="K8" s="11">
        <v>115</v>
      </c>
      <c r="L8" s="11"/>
      <c r="M8" s="11"/>
    </row>
    <row r="9" spans="2:14" s="1" customFormat="1" ht="27" customHeight="1" x14ac:dyDescent="0.25">
      <c r="B9" s="3" t="s">
        <v>43</v>
      </c>
      <c r="C9" s="3"/>
      <c r="D9" s="26">
        <v>5</v>
      </c>
      <c r="E9" s="27"/>
      <c r="F9" s="28"/>
      <c r="G9" s="29"/>
      <c r="H9" s="27">
        <v>7.2</v>
      </c>
      <c r="I9" s="16"/>
      <c r="J9" s="16"/>
      <c r="K9" s="11"/>
      <c r="L9" s="11"/>
      <c r="M9" s="11"/>
    </row>
    <row r="10" spans="2:14" s="1" customFormat="1" ht="27" customHeight="1" x14ac:dyDescent="0.25">
      <c r="B10" s="3" t="s">
        <v>31</v>
      </c>
      <c r="C10" s="3"/>
      <c r="D10" s="26">
        <v>6</v>
      </c>
      <c r="E10" s="27"/>
      <c r="F10" s="28"/>
      <c r="G10" s="29"/>
      <c r="H10" s="27">
        <v>0</v>
      </c>
      <c r="I10" s="16"/>
      <c r="J10" s="16"/>
      <c r="K10" s="11"/>
      <c r="L10" s="11"/>
      <c r="M10" s="11"/>
    </row>
    <row r="11" spans="2:14" s="1" customFormat="1" ht="27" customHeight="1" x14ac:dyDescent="0.25">
      <c r="B11" s="3" t="s">
        <v>23</v>
      </c>
      <c r="C11" s="3"/>
      <c r="D11" s="7">
        <v>7</v>
      </c>
      <c r="E11" s="11">
        <v>115</v>
      </c>
      <c r="F11" s="9" t="s">
        <v>21</v>
      </c>
      <c r="G11" s="8" t="s">
        <v>20</v>
      </c>
      <c r="H11" s="11">
        <f>215-E11</f>
        <v>100</v>
      </c>
      <c r="I11" s="16"/>
      <c r="J11" s="16"/>
      <c r="K11" s="11">
        <v>115</v>
      </c>
      <c r="L11" s="11"/>
      <c r="M11" s="11"/>
      <c r="N11" s="6"/>
    </row>
    <row r="12" spans="2:14" s="1" customFormat="1" ht="27" customHeight="1" x14ac:dyDescent="0.25">
      <c r="B12" s="3" t="s">
        <v>12</v>
      </c>
      <c r="C12" s="3"/>
      <c r="D12" s="7">
        <v>8</v>
      </c>
      <c r="E12" s="11">
        <v>115</v>
      </c>
      <c r="F12" s="10" t="s">
        <v>22</v>
      </c>
      <c r="G12" s="8" t="s">
        <v>20</v>
      </c>
      <c r="H12" s="11">
        <v>0</v>
      </c>
      <c r="I12" s="16"/>
      <c r="J12" s="16"/>
      <c r="K12" s="11">
        <v>115</v>
      </c>
      <c r="L12" s="11"/>
      <c r="M12" s="11"/>
    </row>
    <row r="13" spans="2:14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/>
      <c r="L13" s="11"/>
      <c r="M13" s="11"/>
    </row>
    <row r="14" spans="2:14" s="1" customFormat="1" ht="27" customHeight="1" x14ac:dyDescent="0.25">
      <c r="B14" s="3" t="s">
        <v>14</v>
      </c>
      <c r="C14" s="3"/>
      <c r="D14" s="7">
        <v>10</v>
      </c>
      <c r="E14" s="31">
        <v>211</v>
      </c>
      <c r="F14" s="10" t="s">
        <v>22</v>
      </c>
      <c r="G14" s="8" t="s">
        <v>20</v>
      </c>
      <c r="H14" s="11">
        <v>1</v>
      </c>
      <c r="I14" s="16"/>
      <c r="J14" s="16"/>
      <c r="K14" s="11">
        <f>115+96.8</f>
        <v>211.8</v>
      </c>
      <c r="L14" s="11"/>
      <c r="M14" s="11"/>
    </row>
    <row r="15" spans="2:14" s="1" customFormat="1" ht="27" customHeight="1" x14ac:dyDescent="0.25">
      <c r="B15" s="3" t="s">
        <v>11</v>
      </c>
      <c r="C15" s="3"/>
      <c r="D15" s="7">
        <v>11</v>
      </c>
      <c r="E15" s="11">
        <v>115</v>
      </c>
      <c r="F15" s="10" t="s">
        <v>22</v>
      </c>
      <c r="G15" s="8" t="s">
        <v>20</v>
      </c>
      <c r="H15" s="11">
        <v>0</v>
      </c>
      <c r="I15" s="16"/>
      <c r="J15" s="16"/>
      <c r="K15" s="11">
        <v>115</v>
      </c>
      <c r="L15" s="11"/>
      <c r="M15" s="11"/>
    </row>
    <row r="16" spans="2:14" s="1" customFormat="1" ht="27" customHeight="1" x14ac:dyDescent="0.25">
      <c r="B16" s="3" t="s">
        <v>44</v>
      </c>
      <c r="C16" s="3"/>
      <c r="D16" s="7">
        <v>12</v>
      </c>
      <c r="E16" s="11">
        <v>115</v>
      </c>
      <c r="F16" s="10" t="s">
        <v>22</v>
      </c>
      <c r="G16" s="8" t="s">
        <v>20</v>
      </c>
      <c r="H16" s="11">
        <v>0</v>
      </c>
      <c r="I16" s="16"/>
      <c r="J16" s="16"/>
      <c r="K16" s="11">
        <v>115</v>
      </c>
      <c r="L16" s="11"/>
      <c r="M16" s="11"/>
    </row>
    <row r="17" spans="2:2" x14ac:dyDescent="0.25">
      <c r="B17" s="32"/>
    </row>
  </sheetData>
  <mergeCells count="2">
    <mergeCell ref="D2:H2"/>
    <mergeCell ref="K2:L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8DD2-6E3C-4C2D-951D-347E2F88789B}">
  <dimension ref="B2:O17"/>
  <sheetViews>
    <sheetView workbookViewId="0">
      <selection activeCell="F10" sqref="F10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45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v>932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84.72</v>
      </c>
      <c r="F5" s="7" t="s">
        <v>19</v>
      </c>
      <c r="G5" s="8" t="s">
        <v>20</v>
      </c>
      <c r="H5" s="11">
        <v>0</v>
      </c>
      <c r="I5" s="16"/>
      <c r="J5" s="16"/>
      <c r="K5" s="11">
        <v>84.72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84.72</v>
      </c>
      <c r="F6" s="10" t="s">
        <v>22</v>
      </c>
      <c r="G6" s="8" t="s">
        <v>20</v>
      </c>
      <c r="H6" s="11">
        <v>9.1999999999999993</v>
      </c>
      <c r="I6" s="16"/>
      <c r="J6" s="16"/>
      <c r="K6" s="11">
        <v>84.72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84.72</v>
      </c>
      <c r="F7" s="10" t="s">
        <v>22</v>
      </c>
      <c r="G7" s="8" t="s">
        <v>20</v>
      </c>
      <c r="H7" s="11">
        <v>0</v>
      </c>
      <c r="I7" s="16"/>
      <c r="J7" s="16"/>
      <c r="K7" s="11">
        <v>84.72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84.72</v>
      </c>
      <c r="F8" s="9" t="s">
        <v>21</v>
      </c>
      <c r="G8" s="8" t="s">
        <v>20</v>
      </c>
      <c r="H8" s="11">
        <f>305-E8</f>
        <v>220.28</v>
      </c>
      <c r="I8" s="16"/>
      <c r="J8" s="16"/>
      <c r="K8" s="11">
        <v>84.72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84.72</v>
      </c>
      <c r="F9" s="33" t="s">
        <v>19</v>
      </c>
      <c r="G9" s="8" t="s">
        <v>20</v>
      </c>
      <c r="H9" s="11"/>
      <c r="I9" s="16"/>
      <c r="J9" s="16"/>
      <c r="K9" s="11">
        <v>84.72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84.72</v>
      </c>
      <c r="F10" s="10" t="s">
        <v>22</v>
      </c>
      <c r="G10" s="8" t="s">
        <v>20</v>
      </c>
      <c r="H10" s="11">
        <v>0</v>
      </c>
      <c r="I10" s="16"/>
      <c r="J10" s="16"/>
      <c r="K10" s="11">
        <v>84.72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84.72</v>
      </c>
      <c r="F11" s="9" t="s">
        <v>21</v>
      </c>
      <c r="G11" s="8" t="s">
        <v>20</v>
      </c>
      <c r="H11" s="11">
        <f>100-E11</f>
        <v>15.280000000000001</v>
      </c>
      <c r="I11" s="16"/>
      <c r="J11" s="16"/>
      <c r="K11" s="11">
        <v>84.72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84.72</v>
      </c>
      <c r="F12" s="10" t="s">
        <v>22</v>
      </c>
      <c r="G12" s="8" t="s">
        <v>20</v>
      </c>
      <c r="H12" s="11">
        <v>0</v>
      </c>
      <c r="I12" s="16"/>
      <c r="J12" s="16"/>
      <c r="K12" s="11">
        <v>84.72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>
        <v>84.72</v>
      </c>
      <c r="L13" s="11"/>
      <c r="M13" s="11"/>
    </row>
    <row r="14" spans="2:15" s="1" customFormat="1" ht="27" customHeight="1" x14ac:dyDescent="0.25">
      <c r="B14" s="3" t="s">
        <v>14</v>
      </c>
      <c r="C14" s="3"/>
      <c r="D14" s="7">
        <v>10</v>
      </c>
      <c r="E14" s="31"/>
      <c r="F14" s="10"/>
      <c r="G14" s="8"/>
      <c r="H14" s="11"/>
      <c r="I14" s="16"/>
      <c r="J14" s="16"/>
      <c r="K14" s="11">
        <v>84.72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84.72</v>
      </c>
      <c r="F15" s="10" t="s">
        <v>22</v>
      </c>
      <c r="G15" s="8" t="s">
        <v>20</v>
      </c>
      <c r="H15" s="11">
        <v>0</v>
      </c>
      <c r="I15" s="16"/>
      <c r="J15" s="16"/>
      <c r="K15" s="11">
        <v>84.72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>
        <v>84.72</v>
      </c>
      <c r="F16" s="10" t="s">
        <v>22</v>
      </c>
      <c r="G16" s="8" t="s">
        <v>20</v>
      </c>
      <c r="H16" s="11">
        <v>0</v>
      </c>
      <c r="I16" s="16"/>
      <c r="J16" s="16"/>
      <c r="K16" s="11">
        <v>84.72</v>
      </c>
      <c r="L16" s="11"/>
      <c r="M16" s="11"/>
    </row>
    <row r="17" spans="2:2" x14ac:dyDescent="0.25">
      <c r="B17" s="32"/>
    </row>
  </sheetData>
  <mergeCells count="2">
    <mergeCell ref="D2:H2"/>
    <mergeCell ref="K2:L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A72F-355D-477B-877F-76CCE6E3C521}">
  <dimension ref="B2:O17"/>
  <sheetViews>
    <sheetView workbookViewId="0">
      <selection activeCell="F10" sqref="F10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53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f>995+69</f>
        <v>1064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96.727272727272734</v>
      </c>
      <c r="F5" s="7" t="s">
        <v>19</v>
      </c>
      <c r="G5" s="8" t="s">
        <v>20</v>
      </c>
      <c r="H5" s="11">
        <v>0</v>
      </c>
      <c r="I5" s="16"/>
      <c r="J5" s="16"/>
      <c r="K5" s="11">
        <v>96.727272727272734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96.727272727272734</v>
      </c>
      <c r="F6" s="10"/>
      <c r="G6" s="8"/>
      <c r="H6" s="11">
        <v>9.1999999999999993</v>
      </c>
      <c r="I6" s="16"/>
      <c r="J6" s="16"/>
      <c r="K6" s="11">
        <v>96.727272727272734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96.727272727272734</v>
      </c>
      <c r="F7" s="10" t="s">
        <v>22</v>
      </c>
      <c r="G7" s="8" t="s">
        <v>20</v>
      </c>
      <c r="H7" s="11">
        <v>0</v>
      </c>
      <c r="I7" s="16"/>
      <c r="J7" s="16"/>
      <c r="K7" s="11">
        <v>96.727272727272734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96.727272727272734</v>
      </c>
      <c r="F8" s="9" t="s">
        <v>21</v>
      </c>
      <c r="G8" s="8" t="s">
        <v>20</v>
      </c>
      <c r="H8" s="11">
        <f>220-E8</f>
        <v>123.27272727272727</v>
      </c>
      <c r="I8" s="16"/>
      <c r="J8" s="16"/>
      <c r="K8" s="11">
        <v>96.727272727272734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96.727272727272734</v>
      </c>
      <c r="F9" s="10" t="s">
        <v>22</v>
      </c>
      <c r="G9" s="8" t="s">
        <v>20</v>
      </c>
      <c r="H9" s="11"/>
      <c r="I9" s="16"/>
      <c r="J9" s="16"/>
      <c r="K9" s="11">
        <v>96.727272727272734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96.727272727272734</v>
      </c>
      <c r="F10" s="10" t="s">
        <v>22</v>
      </c>
      <c r="G10" s="8" t="s">
        <v>20</v>
      </c>
      <c r="H10" s="11">
        <v>0</v>
      </c>
      <c r="I10" s="16"/>
      <c r="J10" s="16"/>
      <c r="K10" s="11">
        <v>96.727272727272734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96.73</v>
      </c>
      <c r="F11" s="9" t="s">
        <v>21</v>
      </c>
      <c r="G11" s="8" t="s">
        <v>20</v>
      </c>
      <c r="H11" s="11">
        <f>215-E11</f>
        <v>118.27</v>
      </c>
      <c r="I11" s="16"/>
      <c r="J11" s="16"/>
      <c r="K11" s="11">
        <v>96.727272727272734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96.73</v>
      </c>
      <c r="F12" s="10"/>
      <c r="G12" s="8"/>
      <c r="H12" s="11">
        <v>0</v>
      </c>
      <c r="I12" s="16"/>
      <c r="J12" s="16"/>
      <c r="K12" s="11">
        <v>96.727272727272734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>
        <v>96.727272727272734</v>
      </c>
      <c r="L13" s="11"/>
      <c r="M13" s="11"/>
    </row>
    <row r="14" spans="2:15" s="1" customFormat="1" ht="27" customHeight="1" x14ac:dyDescent="0.25">
      <c r="B14" s="3" t="s">
        <v>14</v>
      </c>
      <c r="C14" s="3"/>
      <c r="D14" s="7">
        <v>10</v>
      </c>
      <c r="E14" s="31">
        <v>181</v>
      </c>
      <c r="F14" s="10" t="s">
        <v>22</v>
      </c>
      <c r="G14" s="8" t="s">
        <v>20</v>
      </c>
      <c r="H14" s="34">
        <v>-84</v>
      </c>
      <c r="I14" s="16"/>
      <c r="J14" s="16"/>
      <c r="K14" s="11">
        <v>96.727272727272734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/>
      <c r="F15" s="10"/>
      <c r="G15" s="8"/>
      <c r="H15" s="11">
        <v>0</v>
      </c>
      <c r="I15" s="16"/>
      <c r="J15" s="16"/>
      <c r="K15" s="11">
        <v>96.727272727272734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>
        <v>96.73</v>
      </c>
      <c r="F16" s="10"/>
      <c r="G16" s="8"/>
      <c r="H16" s="11">
        <v>0</v>
      </c>
      <c r="I16" s="16"/>
      <c r="J16" s="16"/>
      <c r="K16" s="11">
        <v>96.727272727272734</v>
      </c>
      <c r="L16" s="11"/>
      <c r="M16" s="11"/>
    </row>
    <row r="17" spans="2:2" x14ac:dyDescent="0.25">
      <c r="B17" s="32"/>
    </row>
  </sheetData>
  <mergeCells count="2">
    <mergeCell ref="D2:H2"/>
    <mergeCell ref="K2:L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AC1C-ADA9-4409-B3D5-CB4B71E2FBF4}">
  <dimension ref="B2:O17"/>
  <sheetViews>
    <sheetView workbookViewId="0">
      <selection activeCell="F14" sqref="F14:G14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54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18</v>
      </c>
      <c r="I4" s="4"/>
      <c r="J4" s="4"/>
      <c r="K4" s="11">
        <v>998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90.727272727272734</v>
      </c>
      <c r="F5" s="7" t="s">
        <v>19</v>
      </c>
      <c r="G5" s="8" t="s">
        <v>20</v>
      </c>
      <c r="H5" s="11">
        <v>0</v>
      </c>
      <c r="I5" s="16"/>
      <c r="J5" s="16"/>
      <c r="K5" s="11">
        <f>K4/11</f>
        <v>90.727272727272734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/>
      <c r="F6" s="10"/>
      <c r="G6" s="8"/>
      <c r="H6" s="11">
        <v>9.1999999999999993</v>
      </c>
      <c r="I6" s="16"/>
      <c r="J6" s="16"/>
      <c r="K6" s="11">
        <v>90.727272727272734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90.727272727272734</v>
      </c>
      <c r="F7" s="10" t="s">
        <v>22</v>
      </c>
      <c r="G7" s="8" t="s">
        <v>20</v>
      </c>
      <c r="H7" s="11">
        <v>0</v>
      </c>
      <c r="I7" s="16"/>
      <c r="J7" s="16"/>
      <c r="K7" s="11">
        <v>90.727272727272734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90.727272727272734</v>
      </c>
      <c r="F8" s="9" t="s">
        <v>21</v>
      </c>
      <c r="G8" s="8" t="s">
        <v>20</v>
      </c>
      <c r="H8" s="11">
        <v>532.54</v>
      </c>
      <c r="I8" s="16"/>
      <c r="J8" s="16"/>
      <c r="K8" s="11">
        <v>90.727272727272734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90.727272727272734</v>
      </c>
      <c r="F9" s="10" t="s">
        <v>22</v>
      </c>
      <c r="G9" s="8" t="s">
        <v>20</v>
      </c>
      <c r="H9" s="11">
        <v>0</v>
      </c>
      <c r="I9" s="16"/>
      <c r="J9" s="16"/>
      <c r="K9" s="11">
        <v>90.727272727272734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90.727272727272734</v>
      </c>
      <c r="F10" s="10" t="s">
        <v>22</v>
      </c>
      <c r="G10" s="8" t="s">
        <v>20</v>
      </c>
      <c r="H10" s="11">
        <v>90.73</v>
      </c>
      <c r="I10" s="16"/>
      <c r="J10" s="16"/>
      <c r="K10" s="11">
        <v>90.727272727272734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90.727272727272734</v>
      </c>
      <c r="F11" s="9" t="s">
        <v>21</v>
      </c>
      <c r="G11" s="8" t="s">
        <v>20</v>
      </c>
      <c r="H11" s="11">
        <f>118.27-E11</f>
        <v>27.542727272727262</v>
      </c>
      <c r="I11" s="16"/>
      <c r="J11" s="16"/>
      <c r="K11" s="11">
        <v>90.727272727272734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90.727272727272734</v>
      </c>
      <c r="F12" s="10" t="s">
        <v>22</v>
      </c>
      <c r="G12" s="8" t="s">
        <v>20</v>
      </c>
      <c r="H12" s="11">
        <v>0</v>
      </c>
      <c r="I12" s="16"/>
      <c r="J12" s="16"/>
      <c r="K12" s="11">
        <v>90.727272727272734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20">
        <v>0</v>
      </c>
      <c r="I13" s="16"/>
      <c r="J13" s="16"/>
      <c r="K13" s="11">
        <v>90.727272727272734</v>
      </c>
      <c r="L13" s="11"/>
      <c r="M13" s="11"/>
    </row>
    <row r="14" spans="2:15" s="1" customFormat="1" ht="27" customHeight="1" x14ac:dyDescent="0.25">
      <c r="B14" s="3" t="s">
        <v>14</v>
      </c>
      <c r="C14" s="3"/>
      <c r="D14" s="7">
        <v>10</v>
      </c>
      <c r="E14" s="11">
        <v>90.727272727272734</v>
      </c>
      <c r="F14" s="10" t="s">
        <v>22</v>
      </c>
      <c r="G14" s="8" t="s">
        <v>20</v>
      </c>
      <c r="H14" s="34">
        <v>0</v>
      </c>
      <c r="I14" s="16"/>
      <c r="J14" s="16"/>
      <c r="K14" s="11">
        <v>90.727272727272734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/>
      <c r="F15" s="10"/>
      <c r="G15" s="8"/>
      <c r="H15" s="11">
        <v>0</v>
      </c>
      <c r="I15" s="16"/>
      <c r="J15" s="16"/>
      <c r="K15" s="11">
        <v>90.727272727272734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>
        <v>90.727272727272734</v>
      </c>
      <c r="F16" s="10" t="s">
        <v>22</v>
      </c>
      <c r="G16" s="8" t="s">
        <v>20</v>
      </c>
      <c r="H16" s="11">
        <v>0</v>
      </c>
      <c r="I16" s="16"/>
      <c r="J16" s="16"/>
      <c r="K16" s="11">
        <v>90.727272727272734</v>
      </c>
      <c r="L16" s="11"/>
      <c r="M16" s="11"/>
    </row>
    <row r="17" spans="2:2" x14ac:dyDescent="0.25">
      <c r="B17" s="32"/>
    </row>
  </sheetData>
  <mergeCells count="2">
    <mergeCell ref="D2:H2"/>
    <mergeCell ref="K2:L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2DDF-5070-4397-9FAD-0B9D0DCDFED7}">
  <dimension ref="B2:O24"/>
  <sheetViews>
    <sheetView topLeftCell="A2" workbookViewId="0">
      <selection activeCell="K16" sqref="K16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55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24</v>
      </c>
      <c r="I4" s="4"/>
      <c r="J4" s="4"/>
      <c r="K4" s="11">
        <f>1039+73</f>
        <v>1112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101.09090909090909</v>
      </c>
      <c r="F5" s="7" t="s">
        <v>19</v>
      </c>
      <c r="G5" s="8" t="s">
        <v>20</v>
      </c>
      <c r="H5" s="11"/>
      <c r="I5" s="16"/>
      <c r="J5" s="16"/>
      <c r="K5" s="11">
        <f>K4/11</f>
        <v>101.09090909090909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182.62</v>
      </c>
      <c r="F6" s="10" t="s">
        <v>22</v>
      </c>
      <c r="G6" s="8" t="s">
        <v>20</v>
      </c>
      <c r="H6" s="34"/>
      <c r="I6" s="16"/>
      <c r="J6" s="16"/>
      <c r="K6" s="11">
        <v>101.09090909090909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182.62</v>
      </c>
      <c r="F7" s="10" t="s">
        <v>22</v>
      </c>
      <c r="G7" s="8" t="s">
        <v>20</v>
      </c>
      <c r="H7" s="34"/>
      <c r="I7" s="16"/>
      <c r="J7" s="16"/>
      <c r="K7" s="11">
        <v>101.09090909090909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101.09090909090909</v>
      </c>
      <c r="F8" s="9" t="s">
        <v>21</v>
      </c>
      <c r="G8" s="8" t="s">
        <v>20</v>
      </c>
      <c r="H8" s="11">
        <f>532.54-E8</f>
        <v>431.44909090909084</v>
      </c>
      <c r="I8" s="16"/>
      <c r="J8" s="16"/>
      <c r="K8" s="11">
        <v>101.09090909090909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101.09090909090909</v>
      </c>
      <c r="F9" s="10" t="s">
        <v>22</v>
      </c>
      <c r="G9" s="8" t="s">
        <v>20</v>
      </c>
      <c r="H9" s="34"/>
      <c r="I9" s="16"/>
      <c r="J9" s="16"/>
      <c r="K9" s="11">
        <v>101.09090909090909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36">
        <v>90.73</v>
      </c>
      <c r="F10" s="10" t="s">
        <v>22</v>
      </c>
      <c r="G10" s="8" t="s">
        <v>20</v>
      </c>
      <c r="H10" s="36">
        <v>-10.36</v>
      </c>
      <c r="I10" s="16"/>
      <c r="J10" s="16"/>
      <c r="K10" s="11">
        <v>101.09090909090909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101.09</v>
      </c>
      <c r="F11" s="9" t="s">
        <v>21</v>
      </c>
      <c r="G11" s="8" t="s">
        <v>20</v>
      </c>
      <c r="H11" s="11">
        <f>327.54-E11</f>
        <v>226.45000000000002</v>
      </c>
      <c r="I11" s="16"/>
      <c r="J11" s="16"/>
      <c r="K11" s="11">
        <v>101.09090909090909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101.09</v>
      </c>
      <c r="F12" s="10" t="s">
        <v>22</v>
      </c>
      <c r="G12" s="8" t="s">
        <v>20</v>
      </c>
      <c r="H12" s="34"/>
      <c r="I12" s="16"/>
      <c r="J12" s="16"/>
      <c r="K12" s="11">
        <v>101.09090909090909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2"/>
      <c r="H13" s="35"/>
      <c r="I13" s="16"/>
      <c r="J13" s="16"/>
      <c r="K13" s="11">
        <v>101.09090909090909</v>
      </c>
      <c r="L13" s="11"/>
      <c r="M13" s="11"/>
    </row>
    <row r="14" spans="2:15" s="1" customFormat="1" ht="27" customHeight="1" x14ac:dyDescent="0.25">
      <c r="B14" s="3" t="s">
        <v>14</v>
      </c>
      <c r="C14" s="3"/>
      <c r="D14" s="7">
        <v>10</v>
      </c>
      <c r="E14" s="11">
        <v>102</v>
      </c>
      <c r="F14" s="10" t="s">
        <v>22</v>
      </c>
      <c r="G14" s="8" t="s">
        <v>20</v>
      </c>
      <c r="H14" s="34"/>
      <c r="I14" s="16"/>
      <c r="J14" s="16"/>
      <c r="K14" s="11">
        <v>101.09090909090909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191.82</v>
      </c>
      <c r="F15" s="10" t="s">
        <v>22</v>
      </c>
      <c r="G15" s="8" t="s">
        <v>20</v>
      </c>
      <c r="H15" s="11">
        <f>300-E15</f>
        <v>108.18</v>
      </c>
      <c r="I15" s="37"/>
      <c r="J15" s="16"/>
      <c r="K15" s="11">
        <v>101.09090909090909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/>
      <c r="F16" s="10"/>
      <c r="G16" s="8"/>
      <c r="H16" s="34"/>
      <c r="I16" s="16"/>
      <c r="J16" s="16"/>
      <c r="K16" s="11">
        <v>101.09090909090909</v>
      </c>
      <c r="L16" s="11"/>
      <c r="M16" s="11"/>
    </row>
    <row r="17" spans="2:5" x14ac:dyDescent="0.25">
      <c r="B17" s="32"/>
    </row>
    <row r="21" spans="2:5" x14ac:dyDescent="0.25">
      <c r="D21" s="7">
        <v>2</v>
      </c>
      <c r="E21" s="11">
        <v>182.62</v>
      </c>
    </row>
    <row r="22" spans="2:5" x14ac:dyDescent="0.25">
      <c r="D22" s="7">
        <v>6</v>
      </c>
      <c r="E22" s="11">
        <v>10.36</v>
      </c>
    </row>
    <row r="23" spans="2:5" x14ac:dyDescent="0.25">
      <c r="D23" s="7">
        <v>7</v>
      </c>
      <c r="E23" s="11">
        <v>73.55</v>
      </c>
    </row>
    <row r="24" spans="2:5" x14ac:dyDescent="0.25">
      <c r="D24" s="7">
        <v>11</v>
      </c>
      <c r="E24" s="11">
        <v>191.82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0C13-CC32-4EF1-93AB-BBFA855E7510}">
  <dimension ref="B2:O24"/>
  <sheetViews>
    <sheetView workbookViewId="0">
      <selection activeCell="F15" sqref="F15:G15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56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24</v>
      </c>
      <c r="I4" s="4"/>
      <c r="J4" s="4"/>
      <c r="K4" s="11">
        <v>1079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98.090909090909093</v>
      </c>
      <c r="F5" s="7" t="s">
        <v>19</v>
      </c>
      <c r="G5" s="8" t="s">
        <v>20</v>
      </c>
      <c r="H5" s="11"/>
      <c r="I5" s="16"/>
      <c r="J5" s="16"/>
      <c r="K5" s="11">
        <f>K4/11</f>
        <v>98.090909090909093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38">
        <v>2</v>
      </c>
      <c r="E6" s="11"/>
      <c r="F6" s="10"/>
      <c r="G6" s="8"/>
      <c r="H6" s="36">
        <f>-'Noviembre 2025'!H6-98</f>
        <v>-195</v>
      </c>
      <c r="I6" s="16"/>
      <c r="J6" s="16"/>
      <c r="K6" s="11">
        <v>98.090909090909093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98.090909090909093</v>
      </c>
      <c r="F7" s="10" t="s">
        <v>22</v>
      </c>
      <c r="G7" s="8" t="s">
        <v>20</v>
      </c>
      <c r="H7" s="34"/>
      <c r="I7" s="16"/>
      <c r="J7" s="16"/>
      <c r="K7" s="11">
        <v>98.090909090909093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98.090909090909093</v>
      </c>
      <c r="F8" s="9" t="s">
        <v>21</v>
      </c>
      <c r="G8" s="8" t="s">
        <v>20</v>
      </c>
      <c r="H8" s="11">
        <f>431.449090909091-E8</f>
        <v>333.35818181818195</v>
      </c>
      <c r="I8" s="16"/>
      <c r="J8" s="16"/>
      <c r="K8" s="11">
        <v>98.090909090909093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98.090909090909093</v>
      </c>
      <c r="F9" s="10" t="s">
        <v>22</v>
      </c>
      <c r="G9" s="8" t="s">
        <v>20</v>
      </c>
      <c r="H9" s="34"/>
      <c r="I9" s="16"/>
      <c r="J9" s="16"/>
      <c r="K9" s="11">
        <v>98.090909090909093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38">
        <v>6</v>
      </c>
      <c r="E10" s="36"/>
      <c r="F10" s="10"/>
      <c r="G10" s="8"/>
      <c r="H10" s="36">
        <v>108.36</v>
      </c>
      <c r="I10" s="16"/>
      <c r="J10" s="16"/>
      <c r="K10" s="11">
        <v>98.090909090909093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98.090909090909093</v>
      </c>
      <c r="F11" s="9" t="s">
        <v>21</v>
      </c>
      <c r="G11" s="8" t="s">
        <v>20</v>
      </c>
      <c r="H11" s="11">
        <f>226.45-E11</f>
        <v>128.3590909090909</v>
      </c>
      <c r="I11" s="16"/>
      <c r="J11" s="16"/>
      <c r="K11" s="11">
        <v>98.090909090909093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98.090909090909093</v>
      </c>
      <c r="F12" s="10" t="s">
        <v>22</v>
      </c>
      <c r="G12" s="8" t="s">
        <v>20</v>
      </c>
      <c r="H12" s="34"/>
      <c r="I12" s="16"/>
      <c r="J12" s="16"/>
      <c r="K12" s="11">
        <v>98.090909090909093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0"/>
      <c r="H13" s="35"/>
      <c r="I13" s="16"/>
      <c r="J13" s="16"/>
      <c r="K13" s="11"/>
      <c r="L13" s="11"/>
      <c r="M13" s="11"/>
    </row>
    <row r="14" spans="2:15" s="1" customFormat="1" ht="27" customHeight="1" x14ac:dyDescent="0.25">
      <c r="B14" s="3" t="s">
        <v>57</v>
      </c>
      <c r="C14" s="3"/>
      <c r="D14" s="7">
        <v>10</v>
      </c>
      <c r="E14" s="11">
        <v>98.090909090909093</v>
      </c>
      <c r="F14" s="10" t="s">
        <v>22</v>
      </c>
      <c r="G14" s="8" t="s">
        <v>20</v>
      </c>
      <c r="H14" s="34"/>
      <c r="I14" s="16"/>
      <c r="J14" s="16"/>
      <c r="K14" s="11">
        <v>98.090909090909093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98.090909090909093</v>
      </c>
      <c r="F15" s="10" t="s">
        <v>22</v>
      </c>
      <c r="G15" s="8" t="s">
        <v>20</v>
      </c>
      <c r="H15" s="11">
        <f>108.18-E15</f>
        <v>10.089090909090913</v>
      </c>
      <c r="I15" s="37"/>
      <c r="J15" s="16"/>
      <c r="K15" s="11">
        <v>98.090909090909093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>
        <v>200</v>
      </c>
      <c r="F16" s="10" t="s">
        <v>22</v>
      </c>
      <c r="G16" s="8" t="s">
        <v>20</v>
      </c>
      <c r="H16" s="36"/>
      <c r="I16" s="16"/>
      <c r="J16" s="16"/>
      <c r="K16" s="11">
        <v>98.090909090909093</v>
      </c>
      <c r="L16" s="11"/>
      <c r="M16" s="11"/>
    </row>
    <row r="17" spans="2:5" x14ac:dyDescent="0.25">
      <c r="B17" s="32"/>
    </row>
    <row r="21" spans="2:5" x14ac:dyDescent="0.25">
      <c r="D21" s="7">
        <v>2</v>
      </c>
      <c r="E21" s="11">
        <v>182.62</v>
      </c>
    </row>
    <row r="22" spans="2:5" x14ac:dyDescent="0.25">
      <c r="D22" s="7">
        <v>6</v>
      </c>
      <c r="E22" s="11">
        <v>10.36</v>
      </c>
    </row>
    <row r="23" spans="2:5" x14ac:dyDescent="0.25">
      <c r="D23" s="7">
        <v>7</v>
      </c>
      <c r="E23" s="11">
        <v>73.55</v>
      </c>
    </row>
    <row r="24" spans="2:5" x14ac:dyDescent="0.25">
      <c r="D24" s="7">
        <v>11</v>
      </c>
      <c r="E24" s="11">
        <v>191.82</v>
      </c>
    </row>
  </sheetData>
  <mergeCells count="2">
    <mergeCell ref="D2:H2"/>
    <mergeCell ref="K2:L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E376-CA1C-49A7-A574-20C1BF4FD7F3}">
  <dimension ref="B2:O24"/>
  <sheetViews>
    <sheetView workbookViewId="0">
      <selection sqref="A1:XFD1048576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2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58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24</v>
      </c>
      <c r="I4" s="4"/>
      <c r="J4" s="4"/>
      <c r="K4" s="11">
        <f>1070+79</f>
        <v>1149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104.45454545454545</v>
      </c>
      <c r="F5" s="7" t="s">
        <v>19</v>
      </c>
      <c r="G5" s="8" t="s">
        <v>20</v>
      </c>
      <c r="H5" s="11"/>
      <c r="I5" s="16"/>
      <c r="J5" s="16"/>
      <c r="K5" s="11">
        <f>K4/11</f>
        <v>104.45454545454545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104.45454545454545</v>
      </c>
      <c r="F6" s="10" t="s">
        <v>22</v>
      </c>
      <c r="G6" s="8" t="s">
        <v>20</v>
      </c>
      <c r="H6" s="36">
        <v>97</v>
      </c>
      <c r="I6" s="16"/>
      <c r="J6" s="16"/>
      <c r="K6" s="11">
        <v>104.45454545454545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/>
      <c r="F7" s="10"/>
      <c r="G7" s="8"/>
      <c r="H7" s="34"/>
      <c r="I7" s="16"/>
      <c r="J7" s="16"/>
      <c r="K7" s="11">
        <v>104.45454545454545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104.45454545454545</v>
      </c>
      <c r="F8" s="9" t="s">
        <v>21</v>
      </c>
      <c r="G8" s="8" t="s">
        <v>20</v>
      </c>
      <c r="H8" s="11">
        <f>333.358181818182-E8</f>
        <v>228.90363636363656</v>
      </c>
      <c r="I8" s="16"/>
      <c r="J8" s="16"/>
      <c r="K8" s="11">
        <v>104.45454545454545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104.45454545454545</v>
      </c>
      <c r="F9" s="10" t="s">
        <v>22</v>
      </c>
      <c r="G9" s="8" t="s">
        <v>20</v>
      </c>
      <c r="H9" s="34"/>
      <c r="I9" s="16"/>
      <c r="J9" s="16"/>
      <c r="K9" s="11">
        <v>104.45454545454545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104.45454545454545</v>
      </c>
      <c r="F10" s="10" t="s">
        <v>22</v>
      </c>
      <c r="G10" s="8" t="s">
        <v>20</v>
      </c>
      <c r="H10" s="36"/>
      <c r="I10" s="16"/>
      <c r="J10" s="16"/>
      <c r="K10" s="11">
        <v>104.45454545454545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104.45454545454545</v>
      </c>
      <c r="F11" s="9" t="s">
        <v>21</v>
      </c>
      <c r="G11" s="8" t="s">
        <v>20</v>
      </c>
      <c r="H11" s="11">
        <f>128.359090909091-E11</f>
        <v>23.904545454545556</v>
      </c>
      <c r="I11" s="16"/>
      <c r="J11" s="16"/>
      <c r="K11" s="11">
        <v>104.45454545454545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/>
      <c r="F12" s="10"/>
      <c r="G12" s="8"/>
      <c r="H12" s="34"/>
      <c r="I12" s="16"/>
      <c r="J12" s="16"/>
      <c r="K12" s="11">
        <v>104.45454545454545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0"/>
      <c r="H13" s="35"/>
      <c r="I13" s="16"/>
      <c r="J13" s="16"/>
      <c r="K13" s="11"/>
      <c r="L13" s="11"/>
      <c r="M13" s="11"/>
    </row>
    <row r="14" spans="2:15" s="1" customFormat="1" ht="27" customHeight="1" x14ac:dyDescent="0.25">
      <c r="B14" s="3" t="s">
        <v>57</v>
      </c>
      <c r="C14" s="3"/>
      <c r="D14" s="7">
        <v>10</v>
      </c>
      <c r="E14" s="11">
        <v>104.45454545454545</v>
      </c>
      <c r="F14" s="10" t="s">
        <v>22</v>
      </c>
      <c r="G14" s="8" t="s">
        <v>20</v>
      </c>
      <c r="H14" s="34"/>
      <c r="I14" s="16"/>
      <c r="J14" s="16"/>
      <c r="K14" s="11">
        <v>104.45454545454545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104.45454545454545</v>
      </c>
      <c r="F15" s="10" t="s">
        <v>22</v>
      </c>
      <c r="G15" s="8" t="s">
        <v>20</v>
      </c>
      <c r="H15" s="11">
        <v>55.55</v>
      </c>
      <c r="I15" s="37"/>
      <c r="J15" s="16"/>
      <c r="K15" s="11">
        <v>104.45454545454545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/>
      <c r="F16" s="10"/>
      <c r="G16" s="8"/>
      <c r="H16" s="36"/>
      <c r="I16" s="16"/>
      <c r="J16" s="16"/>
      <c r="K16" s="11">
        <v>104.45454545454545</v>
      </c>
      <c r="L16" s="11"/>
      <c r="M16" s="11"/>
    </row>
    <row r="17" spans="2:15" x14ac:dyDescent="0.25">
      <c r="B17" s="32"/>
      <c r="O17" s="2">
        <f>300-202.45</f>
        <v>97.550000000000011</v>
      </c>
    </row>
    <row r="21" spans="2:15" x14ac:dyDescent="0.25">
      <c r="D21" s="4"/>
      <c r="E21" s="16"/>
    </row>
    <row r="22" spans="2:15" x14ac:dyDescent="0.25">
      <c r="D22" s="4"/>
      <c r="E22" s="16"/>
    </row>
    <row r="23" spans="2:15" x14ac:dyDescent="0.25">
      <c r="D23" s="4"/>
      <c r="E23" s="16"/>
    </row>
    <row r="24" spans="2:15" x14ac:dyDescent="0.25">
      <c r="D24" s="4"/>
      <c r="E24" s="16"/>
    </row>
  </sheetData>
  <mergeCells count="2">
    <mergeCell ref="D2:H2"/>
    <mergeCell ref="K2:L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A04F-55BD-46CB-9837-DCCA909D9DC6}">
  <dimension ref="B2:O24"/>
  <sheetViews>
    <sheetView workbookViewId="0">
      <selection sqref="A1:XFD1048576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5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36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24</v>
      </c>
      <c r="I4" s="4"/>
      <c r="J4" s="4"/>
      <c r="K4" s="11">
        <v>1047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95</v>
      </c>
      <c r="F5" s="7" t="s">
        <v>19</v>
      </c>
      <c r="G5" s="8" t="s">
        <v>20</v>
      </c>
      <c r="H5" s="11"/>
      <c r="I5" s="16"/>
      <c r="J5" s="16"/>
      <c r="K5" s="11">
        <v>95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95</v>
      </c>
      <c r="F6" s="10" t="s">
        <v>22</v>
      </c>
      <c r="G6" s="8" t="s">
        <v>20</v>
      </c>
      <c r="H6" s="36">
        <v>2</v>
      </c>
      <c r="I6" s="16"/>
      <c r="J6" s="16"/>
      <c r="K6" s="11">
        <v>95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95</v>
      </c>
      <c r="F7" s="10" t="s">
        <v>22</v>
      </c>
      <c r="G7" s="8" t="s">
        <v>20</v>
      </c>
      <c r="H7" s="34"/>
      <c r="I7" s="16"/>
      <c r="J7" s="16"/>
      <c r="K7" s="11">
        <v>95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95</v>
      </c>
      <c r="F8" s="9" t="s">
        <v>21</v>
      </c>
      <c r="G8" s="8" t="s">
        <v>20</v>
      </c>
      <c r="H8" s="11">
        <f>133+500</f>
        <v>633</v>
      </c>
      <c r="I8" s="16"/>
      <c r="J8" s="16"/>
      <c r="K8" s="11">
        <v>95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95</v>
      </c>
      <c r="F9" s="10" t="s">
        <v>22</v>
      </c>
      <c r="G9" s="8" t="s">
        <v>20</v>
      </c>
      <c r="H9" s="34"/>
      <c r="I9" s="16"/>
      <c r="J9" s="16"/>
      <c r="K9" s="11">
        <v>95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95</v>
      </c>
      <c r="F10" s="9" t="s">
        <v>21</v>
      </c>
      <c r="G10" s="8" t="s">
        <v>20</v>
      </c>
      <c r="H10" s="36">
        <v>5</v>
      </c>
      <c r="I10" s="16"/>
      <c r="J10" s="16"/>
      <c r="K10" s="11">
        <v>95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95</v>
      </c>
      <c r="F11" s="9" t="s">
        <v>21</v>
      </c>
      <c r="G11" s="8" t="s">
        <v>20</v>
      </c>
      <c r="H11" s="11">
        <f>300-E11</f>
        <v>205</v>
      </c>
      <c r="I11" s="16"/>
      <c r="J11" s="16"/>
      <c r="K11" s="11">
        <v>95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95</v>
      </c>
      <c r="F12" s="10" t="s">
        <v>22</v>
      </c>
      <c r="G12" s="8" t="s">
        <v>20</v>
      </c>
      <c r="H12" s="34"/>
      <c r="I12" s="16"/>
      <c r="J12" s="16"/>
      <c r="K12" s="11">
        <v>95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0"/>
      <c r="H13" s="35"/>
      <c r="I13" s="16"/>
      <c r="J13" s="16"/>
      <c r="K13" s="11"/>
      <c r="L13" s="11"/>
      <c r="M13" s="11"/>
    </row>
    <row r="14" spans="2:15" s="1" customFormat="1" ht="27" customHeight="1" x14ac:dyDescent="0.25">
      <c r="B14" s="3" t="s">
        <v>57</v>
      </c>
      <c r="C14" s="3"/>
      <c r="D14" s="7">
        <v>10</v>
      </c>
      <c r="E14" s="11">
        <v>95</v>
      </c>
      <c r="F14" s="10" t="s">
        <v>22</v>
      </c>
      <c r="G14" s="8" t="s">
        <v>20</v>
      </c>
      <c r="H14" s="34"/>
      <c r="I14" s="16"/>
      <c r="J14" s="16"/>
      <c r="K14" s="11">
        <v>95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95</v>
      </c>
      <c r="F15" s="10" t="s">
        <v>22</v>
      </c>
      <c r="G15" s="8" t="s">
        <v>20</v>
      </c>
      <c r="H15" s="11">
        <f>55.55+150-E15</f>
        <v>110.55000000000001</v>
      </c>
      <c r="I15" s="37"/>
      <c r="J15" s="16"/>
      <c r="K15" s="11">
        <v>95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>
        <v>95</v>
      </c>
      <c r="F16" s="10" t="s">
        <v>22</v>
      </c>
      <c r="G16" s="8" t="s">
        <v>20</v>
      </c>
      <c r="H16" s="34"/>
      <c r="I16" s="16"/>
      <c r="J16" s="16"/>
      <c r="K16" s="11">
        <v>95</v>
      </c>
      <c r="L16" s="11"/>
      <c r="M16" s="11"/>
    </row>
    <row r="17" spans="2:5" x14ac:dyDescent="0.25">
      <c r="B17" s="32"/>
    </row>
    <row r="21" spans="2:5" x14ac:dyDescent="0.25">
      <c r="D21" s="4"/>
      <c r="E21" s="16"/>
    </row>
    <row r="22" spans="2:5" x14ac:dyDescent="0.25">
      <c r="D22" s="4"/>
      <c r="E22" s="16"/>
    </row>
    <row r="23" spans="2:5" x14ac:dyDescent="0.25">
      <c r="D23" s="4"/>
      <c r="E23" s="16"/>
    </row>
    <row r="24" spans="2:5" x14ac:dyDescent="0.25">
      <c r="D24" s="4"/>
      <c r="E24" s="16"/>
    </row>
  </sheetData>
  <mergeCells count="2">
    <mergeCell ref="D2:H2"/>
    <mergeCell ref="K2:L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6143-2DDB-41FF-997C-F98E4CD05EF3}">
  <dimension ref="B2:O24"/>
  <sheetViews>
    <sheetView workbookViewId="0">
      <selection activeCell="K16" sqref="K16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5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59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24</v>
      </c>
      <c r="I4" s="4"/>
      <c r="J4" s="4"/>
      <c r="K4" s="11">
        <f>1013+81</f>
        <v>1094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99.45</v>
      </c>
      <c r="F5" s="7" t="s">
        <v>19</v>
      </c>
      <c r="G5" s="8" t="s">
        <v>20</v>
      </c>
      <c r="H5" s="11"/>
      <c r="I5" s="16"/>
      <c r="J5" s="16"/>
      <c r="K5" s="11">
        <v>99.45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99.45</v>
      </c>
      <c r="F6" s="9" t="s">
        <v>21</v>
      </c>
      <c r="G6" s="8" t="s">
        <v>20</v>
      </c>
      <c r="H6" s="11">
        <v>2</v>
      </c>
      <c r="I6" s="16"/>
      <c r="J6" s="16"/>
      <c r="K6" s="11">
        <v>99.45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>
        <v>99.45</v>
      </c>
      <c r="F7" s="10" t="s">
        <v>22</v>
      </c>
      <c r="G7" s="8" t="s">
        <v>20</v>
      </c>
      <c r="H7" s="11"/>
      <c r="I7" s="16"/>
      <c r="J7" s="16"/>
      <c r="K7" s="11">
        <v>99.45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99.45</v>
      </c>
      <c r="F8" s="9" t="s">
        <v>21</v>
      </c>
      <c r="G8" s="8" t="s">
        <v>20</v>
      </c>
      <c r="H8" s="11">
        <f>633-E8</f>
        <v>533.54999999999995</v>
      </c>
      <c r="I8" s="16"/>
      <c r="J8" s="16"/>
      <c r="K8" s="11">
        <v>99.45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99.45</v>
      </c>
      <c r="F9" s="10" t="s">
        <v>22</v>
      </c>
      <c r="G9" s="8" t="s">
        <v>20</v>
      </c>
      <c r="H9" s="11"/>
      <c r="I9" s="16"/>
      <c r="J9" s="16"/>
      <c r="K9" s="11">
        <v>99.45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99.45</v>
      </c>
      <c r="F10" s="10" t="s">
        <v>22</v>
      </c>
      <c r="G10" s="8" t="s">
        <v>20</v>
      </c>
      <c r="H10" s="11">
        <v>5</v>
      </c>
      <c r="I10" s="16"/>
      <c r="J10" s="16"/>
      <c r="K10" s="11">
        <v>99.45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99.45</v>
      </c>
      <c r="F11" s="9" t="s">
        <v>21</v>
      </c>
      <c r="G11" s="8" t="s">
        <v>20</v>
      </c>
      <c r="H11" s="11">
        <f>205-E11</f>
        <v>105.55</v>
      </c>
      <c r="I11" s="16"/>
      <c r="J11" s="16"/>
      <c r="K11" s="11">
        <v>99.45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99.45</v>
      </c>
      <c r="F12" s="10" t="s">
        <v>22</v>
      </c>
      <c r="G12" s="8" t="s">
        <v>20</v>
      </c>
      <c r="H12" s="11"/>
      <c r="I12" s="16"/>
      <c r="J12" s="16"/>
      <c r="K12" s="11">
        <v>99.45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0"/>
      <c r="H13" s="20"/>
      <c r="I13" s="16"/>
      <c r="J13" s="16"/>
      <c r="K13" s="20"/>
      <c r="L13" s="11"/>
      <c r="M13" s="11"/>
    </row>
    <row r="14" spans="2:15" s="1" customFormat="1" ht="27" customHeight="1" x14ac:dyDescent="0.25">
      <c r="B14" s="3" t="s">
        <v>57</v>
      </c>
      <c r="C14" s="3"/>
      <c r="D14" s="7">
        <v>10</v>
      </c>
      <c r="E14" s="11">
        <v>99.45</v>
      </c>
      <c r="F14" s="10" t="s">
        <v>22</v>
      </c>
      <c r="G14" s="8" t="s">
        <v>20</v>
      </c>
      <c r="H14" s="11"/>
      <c r="I14" s="16"/>
      <c r="J14" s="16"/>
      <c r="K14" s="11">
        <v>99.45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99.45</v>
      </c>
      <c r="F15" s="10" t="s">
        <v>22</v>
      </c>
      <c r="G15" s="8" t="s">
        <v>20</v>
      </c>
      <c r="H15" s="11">
        <f>110.55-E15</f>
        <v>11.099999999999994</v>
      </c>
      <c r="I15" s="37"/>
      <c r="J15" s="16"/>
      <c r="K15" s="11">
        <v>99.45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7">
        <v>12</v>
      </c>
      <c r="E16" s="11"/>
      <c r="F16" s="10"/>
      <c r="G16" s="8"/>
      <c r="H16" s="11"/>
      <c r="I16" s="16"/>
      <c r="J16" s="16"/>
      <c r="K16" s="11">
        <v>99.45</v>
      </c>
      <c r="L16" s="11"/>
      <c r="M16" s="11"/>
    </row>
    <row r="17" spans="2:5" x14ac:dyDescent="0.25">
      <c r="B17" s="32"/>
    </row>
    <row r="21" spans="2:5" x14ac:dyDescent="0.25">
      <c r="D21" s="4"/>
      <c r="E21" s="16"/>
    </row>
    <row r="22" spans="2:5" x14ac:dyDescent="0.25">
      <c r="D22" s="4"/>
      <c r="E22" s="16"/>
    </row>
    <row r="23" spans="2:5" x14ac:dyDescent="0.25">
      <c r="D23" s="4"/>
      <c r="E23" s="16"/>
    </row>
    <row r="24" spans="2:5" x14ac:dyDescent="0.25">
      <c r="D24" s="4"/>
      <c r="E24" s="16"/>
    </row>
  </sheetData>
  <mergeCells count="2">
    <mergeCell ref="D2:H2"/>
    <mergeCell ref="K2:L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A2F2-40AE-4AC1-99A7-341804919620}">
  <dimension ref="B2:O24"/>
  <sheetViews>
    <sheetView tabSelected="1" workbookViewId="0">
      <selection activeCell="E6" sqref="E6"/>
    </sheetView>
  </sheetViews>
  <sheetFormatPr defaultColWidth="9.140625" defaultRowHeight="15" x14ac:dyDescent="0.25"/>
  <cols>
    <col min="1" max="1" width="9.140625" style="2"/>
    <col min="2" max="2" width="31.7109375" style="2" customWidth="1"/>
    <col min="3" max="3" width="5.7109375" style="2" customWidth="1"/>
    <col min="4" max="4" width="8.42578125" style="2" customWidth="1"/>
    <col min="5" max="5" width="10.140625" style="12" customWidth="1"/>
    <col min="6" max="6" width="6.85546875" style="2" customWidth="1"/>
    <col min="7" max="7" width="9.140625" style="2"/>
    <col min="8" max="9" width="13.5703125" style="2" customWidth="1"/>
    <col min="10" max="10" width="9.7109375" style="2" bestFit="1" customWidth="1"/>
    <col min="11" max="12" width="19.7109375" style="2" customWidth="1"/>
    <col min="13" max="14" width="9.140625" style="2"/>
    <col min="15" max="15" width="36" style="2" customWidth="1"/>
    <col min="16" max="16384" width="9.140625" style="2"/>
  </cols>
  <sheetData>
    <row r="2" spans="2:15" ht="36.75" customHeight="1" x14ac:dyDescent="0.25">
      <c r="D2" s="43" t="s">
        <v>60</v>
      </c>
      <c r="E2" s="43"/>
      <c r="F2" s="43"/>
      <c r="G2" s="43"/>
      <c r="H2" s="43"/>
      <c r="I2" s="25"/>
      <c r="K2" s="44" t="s">
        <v>24</v>
      </c>
      <c r="L2" s="45"/>
    </row>
    <row r="3" spans="2:15" ht="21" x14ac:dyDescent="0.25">
      <c r="D3" s="17"/>
      <c r="E3" s="17"/>
      <c r="F3" s="17"/>
      <c r="G3" s="17"/>
      <c r="H3" s="4"/>
      <c r="I3" s="4"/>
      <c r="K3" s="23"/>
      <c r="L3" s="24"/>
    </row>
    <row r="4" spans="2:15" s="1" customFormat="1" ht="27" customHeight="1" x14ac:dyDescent="0.25">
      <c r="B4" s="3"/>
      <c r="C4" s="3"/>
      <c r="D4" s="7" t="s">
        <v>17</v>
      </c>
      <c r="E4" s="7"/>
      <c r="F4" s="7"/>
      <c r="G4" s="8"/>
      <c r="H4" s="7" t="s">
        <v>24</v>
      </c>
      <c r="I4" s="4"/>
      <c r="J4" s="4"/>
      <c r="K4" s="11">
        <v>1043</v>
      </c>
      <c r="L4" s="7" t="s">
        <v>25</v>
      </c>
      <c r="M4" s="7" t="s">
        <v>26</v>
      </c>
      <c r="O4" s="14"/>
    </row>
    <row r="5" spans="2:15" s="1" customFormat="1" ht="27" customHeight="1" x14ac:dyDescent="0.25">
      <c r="B5" s="3" t="s">
        <v>4</v>
      </c>
      <c r="C5" s="3"/>
      <c r="D5" s="7">
        <v>1</v>
      </c>
      <c r="E5" s="11">
        <v>94.818181818181813</v>
      </c>
      <c r="F5" s="7" t="s">
        <v>19</v>
      </c>
      <c r="G5" s="8" t="s">
        <v>20</v>
      </c>
      <c r="H5" s="11"/>
      <c r="I5" s="16"/>
      <c r="J5" s="16"/>
      <c r="K5" s="11">
        <f>K4/11</f>
        <v>94.818181818181813</v>
      </c>
      <c r="L5" s="11"/>
      <c r="M5" s="11"/>
      <c r="O5" s="14"/>
    </row>
    <row r="6" spans="2:15" s="1" customFormat="1" ht="27" customHeight="1" x14ac:dyDescent="0.25">
      <c r="B6" s="3" t="s">
        <v>5</v>
      </c>
      <c r="C6" s="3"/>
      <c r="D6" s="7">
        <v>2</v>
      </c>
      <c r="E6" s="11">
        <v>94.818181818181813</v>
      </c>
      <c r="F6" s="9"/>
      <c r="G6" s="8"/>
      <c r="H6" s="11">
        <v>2</v>
      </c>
      <c r="I6" s="16"/>
      <c r="J6" s="16"/>
      <c r="K6" s="11">
        <v>94.818181818181813</v>
      </c>
      <c r="L6" s="11"/>
      <c r="M6" s="11"/>
      <c r="O6" s="14" t="s">
        <v>47</v>
      </c>
    </row>
    <row r="7" spans="2:15" s="1" customFormat="1" ht="27" customHeight="1" x14ac:dyDescent="0.25">
      <c r="B7" s="3" t="s">
        <v>7</v>
      </c>
      <c r="C7" s="3"/>
      <c r="D7" s="7">
        <v>3</v>
      </c>
      <c r="E7" s="11"/>
      <c r="F7" s="10"/>
      <c r="G7" s="8"/>
      <c r="H7" s="11"/>
      <c r="I7" s="16"/>
      <c r="J7" s="16"/>
      <c r="K7" s="11">
        <v>94.818181818181813</v>
      </c>
      <c r="L7" s="11"/>
      <c r="M7" s="11"/>
      <c r="O7" s="14" t="s">
        <v>48</v>
      </c>
    </row>
    <row r="8" spans="2:15" s="1" customFormat="1" ht="27" customHeight="1" x14ac:dyDescent="0.25">
      <c r="B8" s="3" t="s">
        <v>8</v>
      </c>
      <c r="C8" s="3"/>
      <c r="D8" s="7">
        <v>4</v>
      </c>
      <c r="E8" s="11">
        <v>94.818181818181813</v>
      </c>
      <c r="F8" s="9" t="s">
        <v>21</v>
      </c>
      <c r="G8" s="8" t="s">
        <v>20</v>
      </c>
      <c r="H8" s="11">
        <f>533.55-E8</f>
        <v>438.73181818181814</v>
      </c>
      <c r="I8" s="16"/>
      <c r="J8" s="16"/>
      <c r="K8" s="11">
        <v>94.818181818181813</v>
      </c>
      <c r="L8" s="11"/>
      <c r="M8" s="11"/>
      <c r="O8" s="14" t="s">
        <v>49</v>
      </c>
    </row>
    <row r="9" spans="2:15" s="1" customFormat="1" ht="27" customHeight="1" x14ac:dyDescent="0.25">
      <c r="B9" s="3" t="s">
        <v>43</v>
      </c>
      <c r="C9" s="3"/>
      <c r="D9" s="7">
        <v>5</v>
      </c>
      <c r="E9" s="11">
        <v>94.818181818181813</v>
      </c>
      <c r="F9" s="10" t="s">
        <v>22</v>
      </c>
      <c r="G9" s="8" t="s">
        <v>20</v>
      </c>
      <c r="H9" s="11"/>
      <c r="I9" s="16"/>
      <c r="J9" s="16"/>
      <c r="K9" s="11">
        <v>94.818181818181813</v>
      </c>
      <c r="L9" s="11"/>
      <c r="M9" s="11"/>
      <c r="O9" s="14" t="s">
        <v>50</v>
      </c>
    </row>
    <row r="10" spans="2:15" s="1" customFormat="1" ht="27" customHeight="1" x14ac:dyDescent="0.25">
      <c r="B10" s="3" t="s">
        <v>46</v>
      </c>
      <c r="C10" s="3"/>
      <c r="D10" s="7">
        <v>6</v>
      </c>
      <c r="E10" s="11">
        <v>94.818181818181813</v>
      </c>
      <c r="F10" s="10" t="s">
        <v>22</v>
      </c>
      <c r="G10" s="8" t="s">
        <v>20</v>
      </c>
      <c r="H10" s="11">
        <v>5</v>
      </c>
      <c r="I10" s="16"/>
      <c r="J10" s="16"/>
      <c r="K10" s="11">
        <v>94.818181818181813</v>
      </c>
      <c r="L10" s="11"/>
      <c r="M10" s="11"/>
      <c r="O10" s="14" t="s">
        <v>52</v>
      </c>
    </row>
    <row r="11" spans="2:15" s="1" customFormat="1" ht="27" customHeight="1" x14ac:dyDescent="0.25">
      <c r="B11" s="3" t="s">
        <v>23</v>
      </c>
      <c r="C11" s="3"/>
      <c r="D11" s="7">
        <v>7</v>
      </c>
      <c r="E11" s="11">
        <v>94.818181818181813</v>
      </c>
      <c r="F11" s="10" t="s">
        <v>22</v>
      </c>
      <c r="G11" s="8" t="s">
        <v>20</v>
      </c>
      <c r="H11" s="11">
        <f>105.55-E11</f>
        <v>10.731818181818184</v>
      </c>
      <c r="I11" s="16"/>
      <c r="J11" s="16"/>
      <c r="K11" s="11">
        <v>94.818181818181813</v>
      </c>
      <c r="L11" s="11"/>
      <c r="M11" s="11"/>
      <c r="N11" s="6"/>
      <c r="O11" s="14" t="s">
        <v>51</v>
      </c>
    </row>
    <row r="12" spans="2:15" s="1" customFormat="1" ht="27" customHeight="1" x14ac:dyDescent="0.25">
      <c r="B12" s="3" t="s">
        <v>12</v>
      </c>
      <c r="C12" s="3"/>
      <c r="D12" s="7">
        <v>8</v>
      </c>
      <c r="E12" s="11">
        <v>94.818181818181813</v>
      </c>
      <c r="F12" s="10" t="s">
        <v>22</v>
      </c>
      <c r="G12" s="8" t="s">
        <v>20</v>
      </c>
      <c r="H12" s="11"/>
      <c r="I12" s="16"/>
      <c r="J12" s="16"/>
      <c r="K12" s="11">
        <v>94.818181818181813</v>
      </c>
      <c r="L12" s="11"/>
      <c r="M12" s="11"/>
    </row>
    <row r="13" spans="2:15" s="1" customFormat="1" ht="27" customHeight="1" x14ac:dyDescent="0.25">
      <c r="B13" s="3" t="s">
        <v>13</v>
      </c>
      <c r="C13" s="3"/>
      <c r="D13" s="19">
        <v>9</v>
      </c>
      <c r="E13" s="20"/>
      <c r="F13" s="21"/>
      <c r="G13" s="20"/>
      <c r="H13" s="20"/>
      <c r="I13" s="16"/>
      <c r="J13" s="16"/>
      <c r="K13" s="20"/>
      <c r="L13" s="11"/>
      <c r="M13" s="11"/>
    </row>
    <row r="14" spans="2:15" s="1" customFormat="1" ht="27" customHeight="1" x14ac:dyDescent="0.25">
      <c r="B14" s="3" t="s">
        <v>57</v>
      </c>
      <c r="C14" s="3"/>
      <c r="D14" s="7">
        <v>10</v>
      </c>
      <c r="E14" s="11">
        <v>94.818181818181813</v>
      </c>
      <c r="F14" s="10" t="s">
        <v>22</v>
      </c>
      <c r="G14" s="8" t="s">
        <v>20</v>
      </c>
      <c r="H14" s="11"/>
      <c r="I14" s="16"/>
      <c r="J14" s="16"/>
      <c r="K14" s="11">
        <v>94.818181818181813</v>
      </c>
      <c r="L14" s="11"/>
      <c r="M14" s="11"/>
    </row>
    <row r="15" spans="2:15" s="1" customFormat="1" ht="27" customHeight="1" x14ac:dyDescent="0.25">
      <c r="B15" s="3" t="s">
        <v>11</v>
      </c>
      <c r="C15" s="3"/>
      <c r="D15" s="7">
        <v>11</v>
      </c>
      <c r="E15" s="11">
        <v>94.818181818181813</v>
      </c>
      <c r="F15" s="10" t="s">
        <v>22</v>
      </c>
      <c r="G15" s="8" t="s">
        <v>20</v>
      </c>
      <c r="H15" s="11">
        <v>16.18</v>
      </c>
      <c r="I15" s="37"/>
      <c r="J15" s="16"/>
      <c r="K15" s="11">
        <v>94.818181818181813</v>
      </c>
      <c r="L15" s="11"/>
      <c r="M15" s="11"/>
    </row>
    <row r="16" spans="2:15" s="1" customFormat="1" ht="27" customHeight="1" x14ac:dyDescent="0.25">
      <c r="B16" s="3" t="s">
        <v>44</v>
      </c>
      <c r="C16" s="3"/>
      <c r="D16" s="38">
        <v>12</v>
      </c>
      <c r="E16" s="39"/>
      <c r="F16" s="40"/>
      <c r="G16" s="41"/>
      <c r="H16" s="42">
        <v>-94.82</v>
      </c>
      <c r="I16" s="16"/>
      <c r="J16" s="16"/>
      <c r="K16" s="11">
        <v>94.818181818181813</v>
      </c>
      <c r="L16" s="11"/>
      <c r="M16" s="11"/>
    </row>
    <row r="17" spans="2:5" x14ac:dyDescent="0.25">
      <c r="B17" s="32"/>
    </row>
    <row r="21" spans="2:5" x14ac:dyDescent="0.25">
      <c r="D21" s="4"/>
      <c r="E21" s="16"/>
    </row>
    <row r="22" spans="2:5" x14ac:dyDescent="0.25">
      <c r="D22" s="4"/>
      <c r="E22" s="16"/>
    </row>
    <row r="23" spans="2:5" x14ac:dyDescent="0.25">
      <c r="D23" s="4"/>
      <c r="E23" s="16"/>
    </row>
    <row r="24" spans="2:5" x14ac:dyDescent="0.25">
      <c r="D24" s="4"/>
      <c r="E24" s="16"/>
    </row>
  </sheetData>
  <mergeCells count="2">
    <mergeCell ref="D2:H2"/>
    <mergeCell ref="K2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2DA3AF5FDF1C429CDD98C08692F18E" ma:contentTypeVersion="3" ma:contentTypeDescription="Create a new document." ma:contentTypeScope="" ma:versionID="85237d56e69d8f2bddbdeb603d2917fd">
  <xsd:schema xmlns:xsd="http://www.w3.org/2001/XMLSchema" xmlns:xs="http://www.w3.org/2001/XMLSchema" xmlns:p="http://schemas.microsoft.com/office/2006/metadata/properties" xmlns:ns3="80aa6a40-a713-4466-b77f-bf3c5270c999" targetNamespace="http://schemas.microsoft.com/office/2006/metadata/properties" ma:root="true" ma:fieldsID="51b701757e772618e46b7a2b9dabe069" ns3:_="">
    <xsd:import namespace="80aa6a40-a713-4466-b77f-bf3c5270c9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a6a40-a713-4466-b77f-bf3c5270c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5299CB-A373-48DF-ACAE-B1791DC4F2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CB5D0E-C1E5-4BEC-BEEB-82F821A8F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aa6a40-a713-4466-b77f-bf3c5270c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5AFF1-8D4C-41D5-96DA-1584F9E0C1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Febrero</vt:lpstr>
      <vt:lpstr>Marzo</vt:lpstr>
      <vt:lpstr>Marzo2.0</vt:lpstr>
      <vt:lpstr>Abril</vt:lpstr>
      <vt:lpstr>Mayo</vt:lpstr>
      <vt:lpstr>Junio</vt:lpstr>
      <vt:lpstr>Julio</vt:lpstr>
      <vt:lpstr>Agosto</vt:lpstr>
      <vt:lpstr>Septiembre</vt:lpstr>
      <vt:lpstr>Octubre</vt:lpstr>
      <vt:lpstr>OCTUBRE PLOMERÍA</vt:lpstr>
      <vt:lpstr>OCTUBRE PLOMERÍA 2</vt:lpstr>
      <vt:lpstr>Noviembre</vt:lpstr>
      <vt:lpstr>Diciembre</vt:lpstr>
      <vt:lpstr>Enero</vt:lpstr>
      <vt:lpstr>Febrero 2025</vt:lpstr>
      <vt:lpstr>Marzo 25</vt:lpstr>
      <vt:lpstr>Abril 25</vt:lpstr>
      <vt:lpstr>Mayo 25</vt:lpstr>
      <vt:lpstr>JUNIO 25</vt:lpstr>
      <vt:lpstr>JULIO 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ALBERTO RETES TERRAZAS</dc:creator>
  <cp:keywords/>
  <dc:description/>
  <cp:lastModifiedBy>Carlos Alberto Retes Terrazas</cp:lastModifiedBy>
  <cp:revision/>
  <dcterms:created xsi:type="dcterms:W3CDTF">2024-02-14T15:33:54Z</dcterms:created>
  <dcterms:modified xsi:type="dcterms:W3CDTF">2026-03-23T16:25:05Z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0x010100F92DA3AF5FDF1C429CDD98C08692F18E</vt:lpwstr>
  </property>
</Properties>
</file>